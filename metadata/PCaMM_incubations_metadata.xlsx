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enjaminpeterson/crashplan/research/AK_incubations/PCaMM_repo/metadata/"/>
    </mc:Choice>
  </mc:AlternateContent>
  <xr:revisionPtr revIDLastSave="0" documentId="13_ncr:1_{714A3DCA-36FC-E24F-9173-542E10F25B69}" xr6:coauthVersionLast="47" xr6:coauthVersionMax="47" xr10:uidLastSave="{00000000-0000-0000-0000-000000000000}"/>
  <bookViews>
    <workbookView xWindow="-73860" yWindow="-3560" windowWidth="33600" windowHeight="20500" activeTab="3" xr2:uid="{19E6CDCD-5251-6141-936B-3AF3B8149571}"/>
  </bookViews>
  <sheets>
    <sheet name="incubationInfo" sheetId="2" r:id="rId1"/>
    <sheet name="containerInfo_Hg" sheetId="1" r:id="rId2"/>
    <sheet name="containerInfo_BONCAT" sheetId="6" r:id="rId3"/>
    <sheet name="containerInfo_other" sheetId="7" r:id="rId4"/>
    <sheet name="SpikeInfo" sheetId="3" r:id="rId5"/>
    <sheet name="SpikePreservation" sheetId="4" r:id="rId6"/>
    <sheet name="printed_sheet" sheetId="5" r:id="rId7"/>
    <sheet name="EXTERNAL_info_for_danielle" sheetId="8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9" i="8" l="1"/>
  <c r="D48" i="8"/>
  <c r="D47" i="8"/>
  <c r="D46" i="8"/>
  <c r="D45" i="8"/>
  <c r="D44" i="8"/>
  <c r="D43" i="8"/>
  <c r="D42" i="8"/>
  <c r="D41" i="8"/>
  <c r="D40" i="8"/>
  <c r="D39" i="8"/>
  <c r="D38" i="8"/>
  <c r="D37" i="8"/>
  <c r="D36" i="8"/>
  <c r="D35" i="8"/>
  <c r="D34" i="8"/>
  <c r="D33" i="8"/>
  <c r="D32" i="8"/>
  <c r="D31" i="8"/>
  <c r="D30" i="8"/>
  <c r="D29" i="8"/>
  <c r="D28" i="8"/>
  <c r="D27" i="8"/>
  <c r="D26" i="8"/>
  <c r="D25" i="8"/>
  <c r="D24" i="8"/>
  <c r="D23" i="8"/>
  <c r="D22" i="8"/>
  <c r="D21" i="8"/>
  <c r="D20" i="8"/>
  <c r="D19" i="8"/>
  <c r="D18" i="8"/>
  <c r="D17" i="8"/>
  <c r="D16" i="8"/>
  <c r="D15" i="8"/>
  <c r="D14" i="8"/>
  <c r="D13" i="8"/>
  <c r="D12" i="8"/>
  <c r="D11" i="8"/>
  <c r="D10" i="8"/>
  <c r="D9" i="8"/>
  <c r="D8" i="8"/>
  <c r="D7" i="8"/>
  <c r="D6" i="8"/>
  <c r="D5" i="8"/>
  <c r="D4" i="8"/>
  <c r="D3" i="8"/>
  <c r="D2" i="8"/>
  <c r="C49" i="8"/>
  <c r="C48" i="8"/>
  <c r="C47" i="8"/>
  <c r="C46" i="8"/>
  <c r="C45" i="8"/>
  <c r="C44" i="8"/>
  <c r="C43" i="8"/>
  <c r="C42" i="8"/>
  <c r="C41" i="8"/>
  <c r="C40" i="8"/>
  <c r="C39" i="8"/>
  <c r="C38" i="8"/>
  <c r="C37" i="8"/>
  <c r="C36" i="8"/>
  <c r="C35" i="8"/>
  <c r="C34" i="8"/>
  <c r="C33" i="8"/>
  <c r="C32" i="8"/>
  <c r="C31" i="8"/>
  <c r="C30" i="8"/>
  <c r="C29" i="8"/>
  <c r="C28" i="8"/>
  <c r="C27" i="8"/>
  <c r="C26" i="8"/>
  <c r="C25" i="8"/>
  <c r="C24" i="8"/>
  <c r="C23" i="8"/>
  <c r="C22" i="8"/>
  <c r="C21" i="8"/>
  <c r="C20" i="8"/>
  <c r="C19" i="8"/>
  <c r="C18" i="8"/>
  <c r="C17" i="8"/>
  <c r="C16" i="8"/>
  <c r="C15" i="8"/>
  <c r="C14" i="8"/>
  <c r="C13" i="8"/>
  <c r="C12" i="8"/>
  <c r="C11" i="8"/>
  <c r="C10" i="8"/>
  <c r="C9" i="8"/>
  <c r="C8" i="8"/>
  <c r="C7" i="8"/>
  <c r="C6" i="8"/>
  <c r="C5" i="8"/>
  <c r="C4" i="8"/>
  <c r="C3" i="8"/>
  <c r="C2" i="8"/>
  <c r="B57" i="8"/>
  <c r="B56" i="8"/>
  <c r="B55" i="8"/>
  <c r="B54" i="8"/>
  <c r="B53" i="8"/>
  <c r="B52" i="8"/>
  <c r="B51" i="8"/>
  <c r="B50" i="8"/>
  <c r="B49" i="8"/>
  <c r="B48" i="8"/>
  <c r="B47" i="8"/>
  <c r="B46" i="8"/>
  <c r="B45" i="8"/>
  <c r="B44" i="8"/>
  <c r="B43" i="8"/>
  <c r="B42" i="8"/>
  <c r="B41" i="8"/>
  <c r="B40" i="8"/>
  <c r="B39" i="8"/>
  <c r="B38" i="8"/>
  <c r="B37" i="8"/>
  <c r="B36" i="8"/>
  <c r="B35" i="8"/>
  <c r="B34" i="8"/>
  <c r="B33" i="8"/>
  <c r="B32" i="8"/>
  <c r="B31" i="8"/>
  <c r="B30" i="8"/>
  <c r="B29" i="8"/>
  <c r="B28" i="8"/>
  <c r="B27" i="8"/>
  <c r="B26" i="8"/>
  <c r="B25" i="8"/>
  <c r="B24" i="8"/>
  <c r="B23" i="8"/>
  <c r="B22" i="8"/>
  <c r="B21" i="8"/>
  <c r="B20" i="8"/>
  <c r="B19" i="8"/>
  <c r="B18" i="8"/>
  <c r="B17" i="8"/>
  <c r="B16" i="8"/>
  <c r="B15" i="8"/>
  <c r="B14" i="8"/>
  <c r="B13" i="8"/>
  <c r="B12" i="8"/>
  <c r="B11" i="8"/>
  <c r="B10" i="8"/>
  <c r="B9" i="8"/>
  <c r="B8" i="8"/>
  <c r="B7" i="8"/>
  <c r="B6" i="8"/>
  <c r="B5" i="8"/>
  <c r="B4" i="8"/>
  <c r="B3" i="8"/>
  <c r="B2" i="8"/>
</calcChain>
</file>

<file path=xl/sharedStrings.xml><?xml version="1.0" encoding="utf-8"?>
<sst xmlns="http://schemas.openxmlformats.org/spreadsheetml/2006/main" count="1026" uniqueCount="282">
  <si>
    <t>PCaMM_inc_001</t>
  </si>
  <si>
    <t>PCaMM_inc_002</t>
  </si>
  <si>
    <t>PCaMM_inc_003</t>
  </si>
  <si>
    <t>PCaMM_inc_004</t>
  </si>
  <si>
    <t>incubationID</t>
  </si>
  <si>
    <t>containerID</t>
  </si>
  <si>
    <t>dateKilled</t>
  </si>
  <si>
    <t>timeKilled</t>
  </si>
  <si>
    <t>depth_cm</t>
  </si>
  <si>
    <t>sideOfIncubation</t>
  </si>
  <si>
    <t>2024-05-22</t>
  </si>
  <si>
    <t>2024-05-23</t>
  </si>
  <si>
    <t>11:40</t>
  </si>
  <si>
    <t>11:41</t>
  </si>
  <si>
    <t>11:42</t>
  </si>
  <si>
    <t>11:43</t>
  </si>
  <si>
    <t>11:56</t>
  </si>
  <si>
    <t>11:57</t>
  </si>
  <si>
    <t>11:58</t>
  </si>
  <si>
    <t>11:59</t>
  </si>
  <si>
    <t>00:05</t>
  </si>
  <si>
    <t>00:06</t>
  </si>
  <si>
    <t>00:07</t>
  </si>
  <si>
    <t>00:08</t>
  </si>
  <si>
    <t>00:13</t>
  </si>
  <si>
    <t>00:14</t>
  </si>
  <si>
    <t>00:15</t>
  </si>
  <si>
    <t>00:16</t>
  </si>
  <si>
    <t>1-3</t>
  </si>
  <si>
    <t>3-6</t>
  </si>
  <si>
    <t>3-5</t>
  </si>
  <si>
    <t>Left</t>
  </si>
  <si>
    <t>Right</t>
  </si>
  <si>
    <t>Collection info</t>
  </si>
  <si>
    <t>Tare</t>
  </si>
  <si>
    <t>Freeze-dry info</t>
  </si>
  <si>
    <t>massWithDriedSample</t>
  </si>
  <si>
    <t>massWithWetSample</t>
  </si>
  <si>
    <t>incubationType</t>
  </si>
  <si>
    <t>PCaMM trial runs - HPG-Hg(II) interactions</t>
  </si>
  <si>
    <t>subSiteID</t>
  </si>
  <si>
    <t>sourceMaterial</t>
  </si>
  <si>
    <t>sediment from arboretum</t>
  </si>
  <si>
    <t>N/A</t>
  </si>
  <si>
    <t>treatment</t>
  </si>
  <si>
    <t>HPG-</t>
  </si>
  <si>
    <t>HPG+</t>
  </si>
  <si>
    <t>startTime</t>
  </si>
  <si>
    <t>preFlushMatrix</t>
  </si>
  <si>
    <t>flushMatrix</t>
  </si>
  <si>
    <t>purged and filtered surface water from arboretum</t>
  </si>
  <si>
    <t>purged and filtered surface water from arboretum with HPG added to final concentration of 50 µM</t>
  </si>
  <si>
    <t>startDate</t>
  </si>
  <si>
    <t>startTimeAndDateFlushing</t>
  </si>
  <si>
    <t>2024-05-21</t>
  </si>
  <si>
    <t>16:50</t>
  </si>
  <si>
    <t>16:30</t>
  </si>
  <si>
    <t>16:20</t>
  </si>
  <si>
    <t>16:40</t>
  </si>
  <si>
    <t>startTimeAndDatePreFlushing</t>
  </si>
  <si>
    <t>spikeID</t>
  </si>
  <si>
    <t>Spike info</t>
  </si>
  <si>
    <t>Treatment info</t>
  </si>
  <si>
    <t>Pre-flush info</t>
  </si>
  <si>
    <t>PCaMM_inc_005</t>
  </si>
  <si>
    <t>PCaMM_inc_006</t>
  </si>
  <si>
    <t>PCaMM_inc_007</t>
  </si>
  <si>
    <t>PCaMM_inc_008</t>
  </si>
  <si>
    <t>PCaMM_inc_009</t>
  </si>
  <si>
    <t>PCaMM_inc_010</t>
  </si>
  <si>
    <t>PCaMM trial runs - Timing and concentration for HPG incorporation</t>
  </si>
  <si>
    <t>50µM HPG+ and Hg(II)-, 36 hr</t>
  </si>
  <si>
    <t>HPG- and Hg(II)+, 36 hr</t>
  </si>
  <si>
    <t>10µM HPG+ and Hg(II)+, 12 hr</t>
  </si>
  <si>
    <t>10µM HPG+ and Hg(II)+, 36 hr</t>
  </si>
  <si>
    <t>50µM HPG+ and Hg(II)+, 12 hr</t>
  </si>
  <si>
    <t>50µM HPG+ and Hg(II)+, 36 hr</t>
  </si>
  <si>
    <t>AK23_MSC_060</t>
  </si>
  <si>
    <t>AK23_MSC_057</t>
  </si>
  <si>
    <t>AK23_MSC_058</t>
  </si>
  <si>
    <t>AK23_MSC_050</t>
  </si>
  <si>
    <t>AK23_MSC_054</t>
  </si>
  <si>
    <t>AK23_MSC_059</t>
  </si>
  <si>
    <t>SitukuyokR_BP_04</t>
  </si>
  <si>
    <t>PCaMM_spike_001</t>
  </si>
  <si>
    <t>PCaMM_spike_002</t>
  </si>
  <si>
    <t>datePrepped</t>
  </si>
  <si>
    <t>timePrepped</t>
  </si>
  <si>
    <t>Recipe</t>
  </si>
  <si>
    <t>Expected concentration of Hg(II) (ng/ml)</t>
  </si>
  <si>
    <t>39.7 mL of filtered anoxic permafrost DOM</t>
  </si>
  <si>
    <t>preservedSpikeID</t>
  </si>
  <si>
    <t>PCaMM_spike_002_t0</t>
  </si>
  <si>
    <t>PCaMM_spike_002_t2</t>
  </si>
  <si>
    <t>Notes</t>
  </si>
  <si>
    <t>Preserved after spiking samples. 5 mL.</t>
  </si>
  <si>
    <t>Preserved along with 36 hr incubations. 5 mL.</t>
  </si>
  <si>
    <t>2:40</t>
  </si>
  <si>
    <t>2024-05-30</t>
  </si>
  <si>
    <t>80 mL of permafrost DOM from AK24_MSC_046</t>
  </si>
  <si>
    <t>50 mL of pre-flush matrix was removed from the bag, then 70 mL of fresh filtered and anoxic permafrost DOM from AK24_MSC_046 was added. Added 654 µL of 15.28 mM HPG to bag.</t>
  </si>
  <si>
    <t>50 mL of pre-flush matrix was removed from the bag, then 70 mL of fresh filtered and anoxic permafrost DOM from AK24_MSC_046 was added. Added no HPG</t>
  </si>
  <si>
    <t>Bag had run almost dry during pre-flush, but still had 20 mL in it. Added 10 mL from the pre-flush matrix from PCaMM_inc_009, then 70 mL of fresh filtered and anoxic permafrost DOM from AK24_MSC_046 was added. Added 654 µL of 15.28 mM HPG to bag.</t>
  </si>
  <si>
    <t>50 mL of pre-flush matrix was removed from the bag, then 70 mL of fresh filtered and anoxic permafrost DOM from AK24_MSC_046 was added. Added 130 µL of 15.28 mM HPG to bag.</t>
  </si>
  <si>
    <t>2:35</t>
  </si>
  <si>
    <t>2:45</t>
  </si>
  <si>
    <t>2:50</t>
  </si>
  <si>
    <t>2:25</t>
  </si>
  <si>
    <t>0.00</t>
  </si>
  <si>
    <t>Acidified sample:</t>
  </si>
  <si>
    <t>Frozen sample:</t>
  </si>
  <si>
    <t>Filtered sample:</t>
  </si>
  <si>
    <t>Volume</t>
  </si>
  <si>
    <t>Preservation</t>
  </si>
  <si>
    <t>Incubation ID:</t>
  </si>
  <si>
    <t>Container ID</t>
  </si>
  <si>
    <t>Top right:</t>
  </si>
  <si>
    <t>Top left:</t>
  </si>
  <si>
    <t>Bottom right:</t>
  </si>
  <si>
    <t>Bottom left:</t>
  </si>
  <si>
    <t>Date:</t>
  </si>
  <si>
    <t>Hg container IDs</t>
  </si>
  <si>
    <t>BONCAT container IDs</t>
  </si>
  <si>
    <t>Time:</t>
  </si>
  <si>
    <t>2024-05-31</t>
  </si>
  <si>
    <t>11:50</t>
  </si>
  <si>
    <t>14:07</t>
  </si>
  <si>
    <t>Added 100 µL of 60% glycerol to &lt;1 mL homogenized sediment</t>
  </si>
  <si>
    <t>PM24_BCT_001</t>
  </si>
  <si>
    <t>PM24_BCT_002</t>
  </si>
  <si>
    <t>PM24_BCT_003</t>
  </si>
  <si>
    <t>PM24_BCT_004</t>
  </si>
  <si>
    <t>PM24_BCT_005</t>
  </si>
  <si>
    <t>PM24_BCT_006</t>
  </si>
  <si>
    <t>PM24_BCT_007</t>
  </si>
  <si>
    <t>PM24_BCT_008</t>
  </si>
  <si>
    <t>PM24_BCT_009</t>
  </si>
  <si>
    <t>PM24_BCT_010</t>
  </si>
  <si>
    <t>PM24_BCT_011</t>
  </si>
  <si>
    <t>PM24_BCT_012</t>
  </si>
  <si>
    <t>PM24_BCT_013</t>
  </si>
  <si>
    <t>PM24_BCT_014</t>
  </si>
  <si>
    <t>PM24_BCT_015</t>
  </si>
  <si>
    <t>PM24_BCT_016</t>
  </si>
  <si>
    <t>PM24_BCT_017</t>
  </si>
  <si>
    <t>PM24_BCT_018</t>
  </si>
  <si>
    <t>PM24_BCT_019</t>
  </si>
  <si>
    <t>PM24_BCT_020</t>
  </si>
  <si>
    <t>PM24_BCT_021</t>
  </si>
  <si>
    <t>PM24_BCT_022</t>
  </si>
  <si>
    <t>PM24_BCT_023</t>
  </si>
  <si>
    <t>PM24_BCT_024</t>
  </si>
  <si>
    <t>PM24_BCT_025</t>
  </si>
  <si>
    <t>PM24_BCT_026</t>
  </si>
  <si>
    <t>PM24_BCT_027</t>
  </si>
  <si>
    <t>PM24_BCT_028</t>
  </si>
  <si>
    <t>PM24_BCT_029</t>
  </si>
  <si>
    <t>PM24_BCT_030</t>
  </si>
  <si>
    <t>PM24_BCT_031</t>
  </si>
  <si>
    <t>PM24_BCT_032</t>
  </si>
  <si>
    <t>PM24_BCT_033</t>
  </si>
  <si>
    <t>PM24_BCT_034</t>
  </si>
  <si>
    <t>PM24_BCT_035</t>
  </si>
  <si>
    <t>PM24_BCT_036</t>
  </si>
  <si>
    <t>PM24_BCT_037</t>
  </si>
  <si>
    <t>PM24_BCT_038</t>
  </si>
  <si>
    <t>PM24_BCT_039</t>
  </si>
  <si>
    <t>PM24_BCT_040</t>
  </si>
  <si>
    <t>PM24_BCT_041</t>
  </si>
  <si>
    <t>PM24_BCT_042</t>
  </si>
  <si>
    <t>PM24_BCT_043</t>
  </si>
  <si>
    <t>PM24_BCT_044</t>
  </si>
  <si>
    <t>PM24_BCT_045</t>
  </si>
  <si>
    <t>PM24_BCT_046</t>
  </si>
  <si>
    <t>PM24_BCT_047</t>
  </si>
  <si>
    <t>PM24_BCT_048</t>
  </si>
  <si>
    <t>14:38</t>
  </si>
  <si>
    <t>PCaMM24_DOC_002</t>
  </si>
  <si>
    <t>PCaMM24_FRZN_002</t>
  </si>
  <si>
    <t>PCaMM24_FILT_001</t>
  </si>
  <si>
    <t>Volume (ml)</t>
  </si>
  <si>
    <t>20</t>
  </si>
  <si>
    <t>40</t>
  </si>
  <si>
    <t>Filtered through 0.2 µm filter, acidified to 1% HCl</t>
  </si>
  <si>
    <t>Filtered through 0.2 µm filter, frozen at -20˚C</t>
  </si>
  <si>
    <t>Filtered through 0.2 µm filter, stored in fridge with no headspace</t>
  </si>
  <si>
    <t>12:10</t>
  </si>
  <si>
    <t>13:30</t>
  </si>
  <si>
    <t>23:00</t>
  </si>
  <si>
    <t>13:05</t>
  </si>
  <si>
    <t>PM24_BCT_049</t>
  </si>
  <si>
    <t>PM24_BCT_050</t>
  </si>
  <si>
    <t>PM24_BCT_051</t>
  </si>
  <si>
    <t>PM24_BCT_052</t>
  </si>
  <si>
    <t>PM24_BCT_053</t>
  </si>
  <si>
    <t>PM24_BCT_054</t>
  </si>
  <si>
    <t>PM24_BCT_055</t>
  </si>
  <si>
    <t>PM24_BCT_056</t>
  </si>
  <si>
    <t>Collected from core AK23_MSC_058, just below the incubation material</t>
  </si>
  <si>
    <t>Collected from core AK23_MSC_059, just below the incubation material</t>
  </si>
  <si>
    <t>2024-06-10</t>
  </si>
  <si>
    <t>Incubation conditions</t>
  </si>
  <si>
    <t>Location within core</t>
  </si>
  <si>
    <t>Incubation ID</t>
  </si>
  <si>
    <t>No HPG added. Collected from the core used for PCaMM_inc_009</t>
  </si>
  <si>
    <t>No HPG added. Collected from the core used for PCaMM_inc_010</t>
  </si>
  <si>
    <t>PCaMM24_FILT_003</t>
  </si>
  <si>
    <t>PCaMM24_DOC_003</t>
  </si>
  <si>
    <t>PCaMM24_FRZN_003</t>
  </si>
  <si>
    <t>PCaMM24_FILT_004</t>
  </si>
  <si>
    <t>PCaMM24_FILT_005</t>
  </si>
  <si>
    <t>PCaMM24_DOC_004</t>
  </si>
  <si>
    <t>PCaMM24_FRZN_004</t>
  </si>
  <si>
    <t>10</t>
  </si>
  <si>
    <t>PCaMM24_FRZN_005</t>
  </si>
  <si>
    <t>PCaMM24_DOC_005</t>
  </si>
  <si>
    <t>PCaMM24_DOC_006</t>
  </si>
  <si>
    <t>PCaMM24_FILT_006</t>
  </si>
  <si>
    <t>PCaMM24_FRZN_006</t>
  </si>
  <si>
    <t>dateFreezeDried</t>
  </si>
  <si>
    <t>2024-06-11</t>
  </si>
  <si>
    <t>PCaMM_SCHM_001</t>
  </si>
  <si>
    <t>PCaMM_SCHM_002</t>
  </si>
  <si>
    <t>PCaMM_SCHM_003</t>
  </si>
  <si>
    <t>PCaMM_SCHM_004</t>
  </si>
  <si>
    <t>PCaMM_SCHM_005</t>
  </si>
  <si>
    <t>PCaMM_SCHM_006</t>
  </si>
  <si>
    <t>PCaMM_SCHM_007</t>
  </si>
  <si>
    <t>PCaMM_SCHM_008</t>
  </si>
  <si>
    <t>PCaMM_SCHM_009</t>
  </si>
  <si>
    <t>PCaMM_SCHM_010</t>
  </si>
  <si>
    <t>PCaMM_SCHM_011</t>
  </si>
  <si>
    <t>PCaMM_SCHM_012</t>
  </si>
  <si>
    <t>PCaMM_SCHM_013</t>
  </si>
  <si>
    <t>PCaMM_SCHM_014</t>
  </si>
  <si>
    <t>PCaMM_SCHM_015</t>
  </si>
  <si>
    <t>PCaMM_SCHM_016</t>
  </si>
  <si>
    <t>PCaMM_SCHM_017</t>
  </si>
  <si>
    <t>PCaMM_SCHM_018</t>
  </si>
  <si>
    <t>PCaMM_SCHM_019</t>
  </si>
  <si>
    <t>PCaMM_SCHM_020</t>
  </si>
  <si>
    <t>PCaMM_SCHM_021</t>
  </si>
  <si>
    <t>PCaMM_SCHM_022</t>
  </si>
  <si>
    <t>PCaMM_SCHM_023</t>
  </si>
  <si>
    <t>PCaMM_SCHM_024</t>
  </si>
  <si>
    <t>PCaMM_SCHM_025</t>
  </si>
  <si>
    <t>PCaMM_SCHM_026</t>
  </si>
  <si>
    <t>PCaMM_SCHM_027</t>
  </si>
  <si>
    <t>PCaMM_SCHM_028</t>
  </si>
  <si>
    <t>PCaMM_SCHM_029</t>
  </si>
  <si>
    <t>PCaMM_SCHM_030</t>
  </si>
  <si>
    <t>PCaMM_SCHM_031</t>
  </si>
  <si>
    <t>PCaMM_SCHM_032</t>
  </si>
  <si>
    <t>PCaMM_SCHM_033</t>
  </si>
  <si>
    <t>PCaMM_SCHM_034</t>
  </si>
  <si>
    <t>PCaMM_SCHM_035</t>
  </si>
  <si>
    <t>PCaMM_SCHM_036</t>
  </si>
  <si>
    <t>PCaMM_SCHM_037</t>
  </si>
  <si>
    <t>PCaMM_SCHM_038</t>
  </si>
  <si>
    <t>PCaMM_SCHM_039</t>
  </si>
  <si>
    <t>PCaMM_SCHM_040</t>
  </si>
  <si>
    <t>11:25</t>
  </si>
  <si>
    <t>11:26</t>
  </si>
  <si>
    <t>11:27</t>
  </si>
  <si>
    <t>11:28</t>
  </si>
  <si>
    <t>11:29</t>
  </si>
  <si>
    <t>11:30</t>
  </si>
  <si>
    <t>11:31</t>
  </si>
  <si>
    <t>11:32</t>
  </si>
  <si>
    <t>50</t>
  </si>
  <si>
    <t>Acidified to 1% HCl</t>
  </si>
  <si>
    <t>PCaMM_PW_001</t>
  </si>
  <si>
    <t>PCaMM_PW_002</t>
  </si>
  <si>
    <t>PCaMM_PW_003</t>
  </si>
  <si>
    <t>PCaMM_PW_004</t>
  </si>
  <si>
    <t>PCaMM_PW_005</t>
  </si>
  <si>
    <t>PCaMM_PW_006</t>
  </si>
  <si>
    <t>PCaMM_PW_007</t>
  </si>
  <si>
    <t>PCaMM_PW_008</t>
  </si>
  <si>
    <t>Taken from outflow</t>
  </si>
  <si>
    <t>Taken from bag</t>
  </si>
  <si>
    <t>12:50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</si>
</sst>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6"/>
      <color theme="1"/>
      <name val="Aptos Narrow"/>
      <scheme val="minor"/>
    </font>
    <font>
      <b/>
      <sz val="18"/>
      <color theme="1"/>
      <name val="Aptos Narrow"/>
      <scheme val="minor"/>
    </font>
    <font>
      <b/>
      <sz val="14"/>
      <color theme="1"/>
      <name val="Aptos Narrow"/>
      <scheme val="minor"/>
    </font>
    <font>
      <sz val="14"/>
      <color theme="1"/>
      <name val="Aptos Narrow"/>
      <scheme val="minor"/>
    </font>
    <font>
      <sz val="12"/>
      <color rgb="FF000000"/>
      <name val="Aptos Narrow"/>
      <family val="2"/>
      <scheme val="minor"/>
    </font>
    <font>
      <sz val="12"/>
      <color theme="1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0" fillId="0" borderId="1" xfId="0" applyBorder="1"/>
    <xf numFmtId="0" fontId="2" fillId="0" borderId="0" xfId="0" applyFont="1"/>
    <xf numFmtId="0" fontId="2" fillId="0" borderId="1" xfId="0" applyFont="1" applyBorder="1"/>
    <xf numFmtId="49" fontId="0" fillId="0" borderId="0" xfId="0" applyNumberFormat="1"/>
    <xf numFmtId="0" fontId="2" fillId="0" borderId="2" xfId="0" applyFont="1" applyBorder="1"/>
    <xf numFmtId="0" fontId="0" fillId="0" borderId="2" xfId="0" applyBorder="1"/>
    <xf numFmtId="49" fontId="2" fillId="0" borderId="1" xfId="0" applyNumberFormat="1" applyFont="1" applyBorder="1"/>
    <xf numFmtId="49" fontId="0" fillId="0" borderId="1" xfId="0" applyNumberFormat="1" applyBorder="1"/>
    <xf numFmtId="2" fontId="0" fillId="0" borderId="1" xfId="0" applyNumberFormat="1" applyBorder="1"/>
    <xf numFmtId="0" fontId="0" fillId="0" borderId="0" xfId="0" applyAlignment="1">
      <alignment vertical="center" wrapText="1"/>
    </xf>
    <xf numFmtId="0" fontId="0" fillId="0" borderId="1" xfId="0" applyBorder="1" applyAlignment="1">
      <alignment vertical="center" wrapText="1"/>
    </xf>
    <xf numFmtId="22" fontId="0" fillId="0" borderId="1" xfId="0" applyNumberFormat="1" applyBorder="1" applyAlignment="1">
      <alignment vertical="center" wrapText="1"/>
    </xf>
    <xf numFmtId="49" fontId="0" fillId="0" borderId="1" xfId="0" applyNumberFormat="1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/>
    </xf>
    <xf numFmtId="0" fontId="2" fillId="0" borderId="0" xfId="0" applyFont="1" applyAlignment="1">
      <alignment vertical="center" wrapText="1"/>
    </xf>
    <xf numFmtId="49" fontId="0" fillId="0" borderId="0" xfId="0" applyNumberFormat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49" fontId="2" fillId="0" borderId="1" xfId="0" applyNumberFormat="1" applyFont="1" applyBorder="1" applyAlignment="1">
      <alignment vertical="center" wrapText="1"/>
    </xf>
    <xf numFmtId="0" fontId="0" fillId="0" borderId="0" xfId="0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5" fillId="2" borderId="1" xfId="0" applyFont="1" applyFill="1" applyBorder="1" applyAlignment="1">
      <alignment horizontal="right" vertical="center" wrapText="1"/>
    </xf>
    <xf numFmtId="0" fontId="5" fillId="2" borderId="1" xfId="0" applyFont="1" applyFill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/>
    </xf>
    <xf numFmtId="49" fontId="0" fillId="0" borderId="1" xfId="0" applyNumberFormat="1" applyBorder="1" applyAlignment="1">
      <alignment horizontal="center"/>
    </xf>
    <xf numFmtId="0" fontId="0" fillId="0" borderId="0" xfId="0" applyAlignment="1">
      <alignment horizontal="center"/>
    </xf>
    <xf numFmtId="0" fontId="5" fillId="0" borderId="1" xfId="0" applyFont="1" applyBorder="1"/>
    <xf numFmtId="0" fontId="6" fillId="0" borderId="0" xfId="0" applyFont="1"/>
    <xf numFmtId="0" fontId="0" fillId="0" borderId="1" xfId="0" applyBorder="1" applyAlignment="1">
      <alignment horizontal="center"/>
    </xf>
    <xf numFmtId="14" fontId="0" fillId="0" borderId="1" xfId="0" applyNumberFormat="1" applyBorder="1" applyAlignment="1">
      <alignment horizontal="center" vertical="center" wrapText="1"/>
    </xf>
    <xf numFmtId="20" fontId="0" fillId="0" borderId="1" xfId="0" applyNumberForma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49" fontId="3" fillId="0" borderId="1" xfId="0" applyNumberFormat="1" applyFont="1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7" fillId="0" borderId="1" xfId="0" applyFont="1" applyBorder="1"/>
    <xf numFmtId="49" fontId="8" fillId="0" borderId="1" xfId="0" applyNumberFormat="1" applyFont="1" applyBorder="1"/>
    <xf numFmtId="49" fontId="8" fillId="0" borderId="1" xfId="0" applyNumberFormat="1" applyFont="1" applyBorder="1" applyAlignment="1">
      <alignment horizontal="center"/>
    </xf>
    <xf numFmtId="49" fontId="2" fillId="0" borderId="1" xfId="0" applyNumberFormat="1" applyFont="1" applyFill="1" applyBorder="1"/>
    <xf numFmtId="49" fontId="8" fillId="0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020DEA-AA24-6F42-B6E6-8FB1CCDED2DA}">
  <dimension ref="A1:N12"/>
  <sheetViews>
    <sheetView workbookViewId="0">
      <selection activeCell="C6" sqref="C6"/>
    </sheetView>
  </sheetViews>
  <sheetFormatPr baseColWidth="10" defaultRowHeight="16" x14ac:dyDescent="0.2"/>
  <cols>
    <col min="1" max="1" width="18.6640625" style="10" customWidth="1"/>
    <col min="2" max="2" width="36" style="10" bestFit="1" customWidth="1"/>
    <col min="3" max="3" width="21.5" style="10" customWidth="1"/>
    <col min="4" max="4" width="15.83203125" style="10" bestFit="1" customWidth="1"/>
    <col min="5" max="5" width="41.1640625" style="10" bestFit="1" customWidth="1"/>
    <col min="6" max="6" width="26.6640625" style="10" customWidth="1"/>
    <col min="7" max="7" width="34.1640625" style="21" customWidth="1"/>
    <col min="8" max="8" width="44.33203125" style="10" customWidth="1"/>
    <col min="9" max="9" width="23.6640625" style="10" bestFit="1" customWidth="1"/>
    <col min="10" max="10" width="23.6640625" style="10" customWidth="1"/>
    <col min="11" max="12" width="10.83203125" style="17"/>
    <col min="13" max="13" width="4.6640625" style="10" customWidth="1"/>
    <col min="14" max="14" width="31.83203125" style="10" customWidth="1"/>
    <col min="15" max="16384" width="10.83203125" style="10"/>
  </cols>
  <sheetData>
    <row r="1" spans="1:14" ht="24" customHeight="1" x14ac:dyDescent="0.2">
      <c r="E1" s="34" t="s">
        <v>63</v>
      </c>
      <c r="F1" s="36"/>
      <c r="G1" s="34" t="s">
        <v>62</v>
      </c>
      <c r="H1" s="35"/>
      <c r="I1" s="35"/>
      <c r="J1" s="35" t="s">
        <v>61</v>
      </c>
      <c r="K1" s="35"/>
      <c r="L1" s="35"/>
    </row>
    <row r="2" spans="1:14" s="16" customFormat="1" ht="17" x14ac:dyDescent="0.2">
      <c r="A2" s="18" t="s">
        <v>4</v>
      </c>
      <c r="B2" s="18" t="s">
        <v>38</v>
      </c>
      <c r="C2" s="18" t="s">
        <v>41</v>
      </c>
      <c r="D2" s="18" t="s">
        <v>40</v>
      </c>
      <c r="E2" s="18" t="s">
        <v>48</v>
      </c>
      <c r="F2" s="18" t="s">
        <v>59</v>
      </c>
      <c r="G2" s="19" t="s">
        <v>44</v>
      </c>
      <c r="H2" s="18" t="s">
        <v>49</v>
      </c>
      <c r="I2" s="18" t="s">
        <v>53</v>
      </c>
      <c r="J2" s="18" t="s">
        <v>60</v>
      </c>
      <c r="K2" s="20" t="s">
        <v>52</v>
      </c>
      <c r="L2" s="20" t="s">
        <v>47</v>
      </c>
      <c r="N2" s="20" t="s">
        <v>94</v>
      </c>
    </row>
    <row r="3" spans="1:14" ht="34" x14ac:dyDescent="0.2">
      <c r="A3" s="11" t="s">
        <v>0</v>
      </c>
      <c r="B3" s="11" t="s">
        <v>39</v>
      </c>
      <c r="C3" s="11" t="s">
        <v>42</v>
      </c>
      <c r="D3" s="11" t="s">
        <v>43</v>
      </c>
      <c r="E3" s="11" t="s">
        <v>50</v>
      </c>
      <c r="F3" s="12">
        <v>45433.472222222219</v>
      </c>
      <c r="G3" s="14" t="s">
        <v>45</v>
      </c>
      <c r="H3" s="11" t="s">
        <v>50</v>
      </c>
      <c r="I3" s="12">
        <v>45433.472222222219</v>
      </c>
      <c r="J3" s="12"/>
      <c r="K3" s="13" t="s">
        <v>54</v>
      </c>
      <c r="L3" s="13" t="s">
        <v>57</v>
      </c>
    </row>
    <row r="4" spans="1:14" ht="34" x14ac:dyDescent="0.2">
      <c r="A4" s="11" t="s">
        <v>1</v>
      </c>
      <c r="B4" s="11" t="s">
        <v>39</v>
      </c>
      <c r="C4" s="11" t="s">
        <v>42</v>
      </c>
      <c r="D4" s="11" t="s">
        <v>43</v>
      </c>
      <c r="E4" s="11" t="s">
        <v>50</v>
      </c>
      <c r="F4" s="12">
        <v>45433.472222222219</v>
      </c>
      <c r="G4" s="14" t="s">
        <v>46</v>
      </c>
      <c r="H4" s="11" t="s">
        <v>51</v>
      </c>
      <c r="I4" s="12">
        <v>45433.472222222219</v>
      </c>
      <c r="J4" s="12"/>
      <c r="K4" s="13" t="s">
        <v>54</v>
      </c>
      <c r="L4" s="13" t="s">
        <v>56</v>
      </c>
    </row>
    <row r="5" spans="1:14" ht="34" x14ac:dyDescent="0.2">
      <c r="A5" s="11" t="s">
        <v>2</v>
      </c>
      <c r="B5" s="11" t="s">
        <v>39</v>
      </c>
      <c r="C5" s="11" t="s">
        <v>42</v>
      </c>
      <c r="D5" s="11" t="s">
        <v>43</v>
      </c>
      <c r="E5" s="11" t="s">
        <v>50</v>
      </c>
      <c r="F5" s="12">
        <v>45433.472222222219</v>
      </c>
      <c r="G5" s="14" t="s">
        <v>46</v>
      </c>
      <c r="H5" s="11" t="s">
        <v>51</v>
      </c>
      <c r="I5" s="12">
        <v>45433.472222222219</v>
      </c>
      <c r="J5" s="12"/>
      <c r="K5" s="13" t="s">
        <v>54</v>
      </c>
      <c r="L5" s="13" t="s">
        <v>58</v>
      </c>
    </row>
    <row r="6" spans="1:14" ht="34" x14ac:dyDescent="0.2">
      <c r="A6" s="11" t="s">
        <v>3</v>
      </c>
      <c r="B6" s="11" t="s">
        <v>39</v>
      </c>
      <c r="C6" s="11" t="s">
        <v>42</v>
      </c>
      <c r="D6" s="11" t="s">
        <v>43</v>
      </c>
      <c r="E6" s="11" t="s">
        <v>50</v>
      </c>
      <c r="F6" s="12">
        <v>45433.472222222219</v>
      </c>
      <c r="G6" s="14" t="s">
        <v>45</v>
      </c>
      <c r="H6" s="11" t="s">
        <v>50</v>
      </c>
      <c r="I6" s="12">
        <v>45433.472222222219</v>
      </c>
      <c r="J6" s="12"/>
      <c r="K6" s="13" t="s">
        <v>54</v>
      </c>
      <c r="L6" s="13" t="s">
        <v>55</v>
      </c>
    </row>
    <row r="7" spans="1:14" ht="68" x14ac:dyDescent="0.2">
      <c r="A7" s="11" t="s">
        <v>64</v>
      </c>
      <c r="B7" s="11" t="s">
        <v>70</v>
      </c>
      <c r="C7" s="15" t="s">
        <v>77</v>
      </c>
      <c r="D7" s="15" t="s">
        <v>83</v>
      </c>
      <c r="E7" s="11" t="s">
        <v>99</v>
      </c>
      <c r="F7" s="12">
        <v>45440.496527777781</v>
      </c>
      <c r="G7" s="14" t="s">
        <v>71</v>
      </c>
      <c r="H7" s="11" t="s">
        <v>100</v>
      </c>
      <c r="I7" s="12">
        <v>45442.069444444445</v>
      </c>
      <c r="J7" s="11" t="s">
        <v>85</v>
      </c>
      <c r="K7" s="13" t="s">
        <v>98</v>
      </c>
      <c r="L7" s="13" t="s">
        <v>107</v>
      </c>
    </row>
    <row r="8" spans="1:14" ht="51" x14ac:dyDescent="0.2">
      <c r="A8" s="11" t="s">
        <v>65</v>
      </c>
      <c r="B8" s="11" t="s">
        <v>70</v>
      </c>
      <c r="C8" s="15" t="s">
        <v>80</v>
      </c>
      <c r="D8" s="15" t="s">
        <v>83</v>
      </c>
      <c r="E8" s="11" t="s">
        <v>99</v>
      </c>
      <c r="F8" s="12">
        <v>45440.496527777781</v>
      </c>
      <c r="G8" s="14" t="s">
        <v>72</v>
      </c>
      <c r="H8" s="11" t="s">
        <v>101</v>
      </c>
      <c r="I8" s="12">
        <v>45442.069444444445</v>
      </c>
      <c r="J8" s="11" t="s">
        <v>85</v>
      </c>
      <c r="K8" s="13" t="s">
        <v>98</v>
      </c>
      <c r="L8" s="13" t="s">
        <v>108</v>
      </c>
    </row>
    <row r="9" spans="1:14" ht="68" x14ac:dyDescent="0.2">
      <c r="A9" s="11" t="s">
        <v>66</v>
      </c>
      <c r="B9" s="11" t="s">
        <v>70</v>
      </c>
      <c r="C9" s="15" t="s">
        <v>81</v>
      </c>
      <c r="D9" s="15" t="s">
        <v>83</v>
      </c>
      <c r="E9" s="11" t="s">
        <v>99</v>
      </c>
      <c r="F9" s="12">
        <v>45440.496527777781</v>
      </c>
      <c r="G9" s="14" t="s">
        <v>74</v>
      </c>
      <c r="H9" s="11" t="s">
        <v>103</v>
      </c>
      <c r="I9" s="12">
        <v>45442.069444444445</v>
      </c>
      <c r="J9" s="11" t="s">
        <v>85</v>
      </c>
      <c r="K9" s="13" t="s">
        <v>98</v>
      </c>
      <c r="L9" s="13" t="s">
        <v>104</v>
      </c>
    </row>
    <row r="10" spans="1:14" ht="68" x14ac:dyDescent="0.2">
      <c r="A10" s="11" t="s">
        <v>67</v>
      </c>
      <c r="B10" s="11" t="s">
        <v>70</v>
      </c>
      <c r="C10" s="15" t="s">
        <v>78</v>
      </c>
      <c r="D10" s="15" t="s">
        <v>83</v>
      </c>
      <c r="E10" s="11" t="s">
        <v>99</v>
      </c>
      <c r="F10" s="12">
        <v>45440.496527777781</v>
      </c>
      <c r="G10" s="14" t="s">
        <v>73</v>
      </c>
      <c r="H10" s="11" t="s">
        <v>103</v>
      </c>
      <c r="I10" s="12">
        <v>45442.069444444445</v>
      </c>
      <c r="J10" s="11" t="s">
        <v>85</v>
      </c>
      <c r="K10" s="13" t="s">
        <v>98</v>
      </c>
      <c r="L10" s="13" t="s">
        <v>97</v>
      </c>
    </row>
    <row r="11" spans="1:14" ht="68" x14ac:dyDescent="0.2">
      <c r="A11" s="11" t="s">
        <v>68</v>
      </c>
      <c r="B11" s="11" t="s">
        <v>70</v>
      </c>
      <c r="C11" s="15" t="s">
        <v>79</v>
      </c>
      <c r="D11" s="15" t="s">
        <v>83</v>
      </c>
      <c r="E11" s="11" t="s">
        <v>99</v>
      </c>
      <c r="F11" s="12">
        <v>45440.496527777781</v>
      </c>
      <c r="G11" s="14" t="s">
        <v>75</v>
      </c>
      <c r="H11" s="11" t="s">
        <v>100</v>
      </c>
      <c r="I11" s="12">
        <v>45442.069444444445</v>
      </c>
      <c r="J11" s="11" t="s">
        <v>85</v>
      </c>
      <c r="K11" s="13" t="s">
        <v>98</v>
      </c>
      <c r="L11" s="13" t="s">
        <v>105</v>
      </c>
    </row>
    <row r="12" spans="1:14" ht="85" x14ac:dyDescent="0.2">
      <c r="A12" s="11" t="s">
        <v>69</v>
      </c>
      <c r="B12" s="11" t="s">
        <v>70</v>
      </c>
      <c r="C12" s="15" t="s">
        <v>82</v>
      </c>
      <c r="D12" s="15" t="s">
        <v>83</v>
      </c>
      <c r="E12" s="11" t="s">
        <v>99</v>
      </c>
      <c r="F12" s="12">
        <v>45440.496527777781</v>
      </c>
      <c r="G12" s="14" t="s">
        <v>76</v>
      </c>
      <c r="H12" s="11" t="s">
        <v>102</v>
      </c>
      <c r="I12" s="12">
        <v>45442.069444444445</v>
      </c>
      <c r="J12" s="11" t="s">
        <v>85</v>
      </c>
      <c r="K12" s="13" t="s">
        <v>98</v>
      </c>
      <c r="L12" s="13" t="s">
        <v>106</v>
      </c>
    </row>
  </sheetData>
  <mergeCells count="3">
    <mergeCell ref="G1:I1"/>
    <mergeCell ref="J1:L1"/>
    <mergeCell ref="E1:F1"/>
  </mergeCells>
  <phoneticPr fontId="1" type="noConversion"/>
  <pageMargins left="0.7" right="0.7" top="0.75" bottom="0.75" header="0.3" footer="0.3"/>
  <pageSetup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FC8D5B-4562-754B-B3FA-4D2FD49566D9}">
  <dimension ref="A1:J42"/>
  <sheetViews>
    <sheetView workbookViewId="0">
      <selection activeCell="K1" sqref="K1:K1048576"/>
    </sheetView>
  </sheetViews>
  <sheetFormatPr baseColWidth="10" defaultRowHeight="16" x14ac:dyDescent="0.2"/>
  <cols>
    <col min="1" max="1" width="18.5" bestFit="1" customWidth="1"/>
    <col min="2" max="2" width="15.6640625" customWidth="1"/>
    <col min="3" max="5" width="10.83203125" style="4"/>
    <col min="6" max="6" width="15.6640625" customWidth="1"/>
    <col min="8" max="8" width="19.33203125" bestFit="1" customWidth="1"/>
    <col min="9" max="9" width="15.6640625" style="4" customWidth="1"/>
    <col min="10" max="10" width="20.5" bestFit="1" customWidth="1"/>
  </cols>
  <sheetData>
    <row r="1" spans="1:10" ht="22" x14ac:dyDescent="0.3">
      <c r="C1" s="37" t="s">
        <v>33</v>
      </c>
      <c r="D1" s="37"/>
      <c r="E1" s="37"/>
      <c r="F1" s="37"/>
      <c r="G1" s="37" t="s">
        <v>35</v>
      </c>
      <c r="H1" s="37"/>
      <c r="I1" s="37"/>
      <c r="J1" s="37"/>
    </row>
    <row r="2" spans="1:10" s="2" customFormat="1" x14ac:dyDescent="0.2">
      <c r="A2" s="3" t="s">
        <v>5</v>
      </c>
      <c r="B2" s="5" t="s">
        <v>4</v>
      </c>
      <c r="C2" s="7" t="s">
        <v>6</v>
      </c>
      <c r="D2" s="7" t="s">
        <v>7</v>
      </c>
      <c r="E2" s="7" t="s">
        <v>8</v>
      </c>
      <c r="F2" s="3" t="s">
        <v>9</v>
      </c>
      <c r="G2" s="3" t="s">
        <v>34</v>
      </c>
      <c r="H2" s="3" t="s">
        <v>37</v>
      </c>
      <c r="I2" s="7" t="s">
        <v>219</v>
      </c>
      <c r="J2" s="3" t="s">
        <v>36</v>
      </c>
    </row>
    <row r="3" spans="1:10" x14ac:dyDescent="0.2">
      <c r="A3" s="1" t="s">
        <v>221</v>
      </c>
      <c r="B3" s="6" t="s">
        <v>0</v>
      </c>
      <c r="C3" s="8" t="s">
        <v>10</v>
      </c>
      <c r="D3" s="8" t="s">
        <v>12</v>
      </c>
      <c r="E3" s="8" t="s">
        <v>28</v>
      </c>
      <c r="F3" s="1"/>
      <c r="G3" s="9">
        <v>5.25</v>
      </c>
      <c r="H3" s="9">
        <v>23.99</v>
      </c>
      <c r="I3" s="8"/>
      <c r="J3" s="1"/>
    </row>
    <row r="4" spans="1:10" x14ac:dyDescent="0.2">
      <c r="A4" s="1" t="s">
        <v>222</v>
      </c>
      <c r="B4" s="6" t="s">
        <v>0</v>
      </c>
      <c r="C4" s="8" t="s">
        <v>10</v>
      </c>
      <c r="D4" s="8" t="s">
        <v>13</v>
      </c>
      <c r="E4" s="8" t="s">
        <v>28</v>
      </c>
      <c r="F4" s="1"/>
      <c r="G4" s="9">
        <v>5.24</v>
      </c>
      <c r="H4" s="9">
        <v>23.03</v>
      </c>
      <c r="I4" s="8"/>
      <c r="J4" s="1"/>
    </row>
    <row r="5" spans="1:10" x14ac:dyDescent="0.2">
      <c r="A5" s="1" t="s">
        <v>223</v>
      </c>
      <c r="B5" s="6" t="s">
        <v>0</v>
      </c>
      <c r="C5" s="8" t="s">
        <v>10</v>
      </c>
      <c r="D5" s="8" t="s">
        <v>14</v>
      </c>
      <c r="E5" s="8" t="s">
        <v>29</v>
      </c>
      <c r="F5" s="1"/>
      <c r="G5" s="9">
        <v>5.24</v>
      </c>
      <c r="H5" s="9">
        <v>17.62</v>
      </c>
      <c r="I5" s="8"/>
      <c r="J5" s="1"/>
    </row>
    <row r="6" spans="1:10" x14ac:dyDescent="0.2">
      <c r="A6" s="1" t="s">
        <v>224</v>
      </c>
      <c r="B6" s="6" t="s">
        <v>0</v>
      </c>
      <c r="C6" s="8" t="s">
        <v>10</v>
      </c>
      <c r="D6" s="8" t="s">
        <v>15</v>
      </c>
      <c r="E6" s="8" t="s">
        <v>29</v>
      </c>
      <c r="F6" s="1"/>
      <c r="G6" s="9">
        <v>5.22</v>
      </c>
      <c r="H6" s="9">
        <v>18.05</v>
      </c>
      <c r="I6" s="8"/>
      <c r="J6" s="1"/>
    </row>
    <row r="7" spans="1:10" x14ac:dyDescent="0.2">
      <c r="A7" s="1" t="s">
        <v>225</v>
      </c>
      <c r="B7" s="6" t="s">
        <v>1</v>
      </c>
      <c r="C7" s="8" t="s">
        <v>10</v>
      </c>
      <c r="D7" s="8" t="s">
        <v>16</v>
      </c>
      <c r="E7" s="8" t="s">
        <v>28</v>
      </c>
      <c r="F7" s="8" t="s">
        <v>31</v>
      </c>
      <c r="G7" s="9">
        <v>5.23</v>
      </c>
      <c r="H7" s="9">
        <v>25.26</v>
      </c>
      <c r="I7" s="8"/>
      <c r="J7" s="1"/>
    </row>
    <row r="8" spans="1:10" x14ac:dyDescent="0.2">
      <c r="A8" s="1" t="s">
        <v>226</v>
      </c>
      <c r="B8" s="6" t="s">
        <v>1</v>
      </c>
      <c r="C8" s="8" t="s">
        <v>10</v>
      </c>
      <c r="D8" s="8" t="s">
        <v>17</v>
      </c>
      <c r="E8" s="8" t="s">
        <v>28</v>
      </c>
      <c r="F8" s="8" t="s">
        <v>32</v>
      </c>
      <c r="G8" s="9">
        <v>5.23</v>
      </c>
      <c r="H8" s="9">
        <v>21.19</v>
      </c>
      <c r="I8" s="8"/>
      <c r="J8" s="1"/>
    </row>
    <row r="9" spans="1:10" x14ac:dyDescent="0.2">
      <c r="A9" s="1" t="s">
        <v>227</v>
      </c>
      <c r="B9" s="6" t="s">
        <v>1</v>
      </c>
      <c r="C9" s="8" t="s">
        <v>10</v>
      </c>
      <c r="D9" s="8" t="s">
        <v>18</v>
      </c>
      <c r="E9" s="8" t="s">
        <v>30</v>
      </c>
      <c r="F9" s="8" t="s">
        <v>31</v>
      </c>
      <c r="G9" s="9">
        <v>5.24</v>
      </c>
      <c r="H9" s="9">
        <v>31.43</v>
      </c>
      <c r="I9" s="8"/>
      <c r="J9" s="1"/>
    </row>
    <row r="10" spans="1:10" x14ac:dyDescent="0.2">
      <c r="A10" s="1" t="s">
        <v>228</v>
      </c>
      <c r="B10" s="6" t="s">
        <v>1</v>
      </c>
      <c r="C10" s="8" t="s">
        <v>10</v>
      </c>
      <c r="D10" s="8" t="s">
        <v>19</v>
      </c>
      <c r="E10" s="8" t="s">
        <v>30</v>
      </c>
      <c r="F10" s="8" t="s">
        <v>32</v>
      </c>
      <c r="G10" s="9">
        <v>5.24</v>
      </c>
      <c r="H10" s="9">
        <v>25.65</v>
      </c>
      <c r="I10" s="8"/>
      <c r="J10" s="1"/>
    </row>
    <row r="11" spans="1:10" x14ac:dyDescent="0.2">
      <c r="A11" s="1" t="s">
        <v>229</v>
      </c>
      <c r="B11" s="6" t="s">
        <v>2</v>
      </c>
      <c r="C11" s="8" t="s">
        <v>11</v>
      </c>
      <c r="D11" s="8" t="s">
        <v>20</v>
      </c>
      <c r="E11" s="8" t="s">
        <v>28</v>
      </c>
      <c r="F11" s="8" t="s">
        <v>31</v>
      </c>
      <c r="G11" s="9">
        <v>5.25</v>
      </c>
      <c r="H11" s="9">
        <v>25.09</v>
      </c>
      <c r="I11" s="8"/>
      <c r="J11" s="1"/>
    </row>
    <row r="12" spans="1:10" x14ac:dyDescent="0.2">
      <c r="A12" s="1" t="s">
        <v>230</v>
      </c>
      <c r="B12" s="6" t="s">
        <v>2</v>
      </c>
      <c r="C12" s="8" t="s">
        <v>11</v>
      </c>
      <c r="D12" s="8" t="s">
        <v>21</v>
      </c>
      <c r="E12" s="8" t="s">
        <v>28</v>
      </c>
      <c r="F12" s="8" t="s">
        <v>32</v>
      </c>
      <c r="G12" s="9">
        <v>5.21</v>
      </c>
      <c r="H12" s="9">
        <v>27.45</v>
      </c>
      <c r="I12" s="8"/>
      <c r="J12" s="1"/>
    </row>
    <row r="13" spans="1:10" x14ac:dyDescent="0.2">
      <c r="A13" s="1" t="s">
        <v>231</v>
      </c>
      <c r="B13" s="6" t="s">
        <v>2</v>
      </c>
      <c r="C13" s="8" t="s">
        <v>11</v>
      </c>
      <c r="D13" s="8" t="s">
        <v>22</v>
      </c>
      <c r="E13" s="8" t="s">
        <v>30</v>
      </c>
      <c r="F13" s="8" t="s">
        <v>31</v>
      </c>
      <c r="G13" s="9">
        <v>5.22</v>
      </c>
      <c r="H13" s="9">
        <v>32.5</v>
      </c>
      <c r="I13" s="8"/>
      <c r="J13" s="1"/>
    </row>
    <row r="14" spans="1:10" x14ac:dyDescent="0.2">
      <c r="A14" s="1" t="s">
        <v>232</v>
      </c>
      <c r="B14" s="6" t="s">
        <v>2</v>
      </c>
      <c r="C14" s="8" t="s">
        <v>11</v>
      </c>
      <c r="D14" s="8" t="s">
        <v>23</v>
      </c>
      <c r="E14" s="8" t="s">
        <v>30</v>
      </c>
      <c r="F14" s="8" t="s">
        <v>32</v>
      </c>
      <c r="G14" s="9">
        <v>5.21</v>
      </c>
      <c r="H14" s="9">
        <v>27.34</v>
      </c>
      <c r="I14" s="8"/>
      <c r="J14" s="1"/>
    </row>
    <row r="15" spans="1:10" x14ac:dyDescent="0.2">
      <c r="A15" s="1" t="s">
        <v>233</v>
      </c>
      <c r="B15" s="6" t="s">
        <v>3</v>
      </c>
      <c r="C15" s="8" t="s">
        <v>11</v>
      </c>
      <c r="D15" s="8" t="s">
        <v>24</v>
      </c>
      <c r="E15" s="8" t="s">
        <v>28</v>
      </c>
      <c r="F15" s="8" t="s">
        <v>31</v>
      </c>
      <c r="G15" s="9">
        <v>5.2</v>
      </c>
      <c r="H15" s="9">
        <v>25.97</v>
      </c>
      <c r="I15" s="8"/>
      <c r="J15" s="1"/>
    </row>
    <row r="16" spans="1:10" x14ac:dyDescent="0.2">
      <c r="A16" s="1" t="s">
        <v>234</v>
      </c>
      <c r="B16" s="6" t="s">
        <v>3</v>
      </c>
      <c r="C16" s="8" t="s">
        <v>11</v>
      </c>
      <c r="D16" s="8" t="s">
        <v>25</v>
      </c>
      <c r="E16" s="8" t="s">
        <v>28</v>
      </c>
      <c r="F16" s="8" t="s">
        <v>32</v>
      </c>
      <c r="G16" s="9">
        <v>5.19</v>
      </c>
      <c r="H16" s="9">
        <v>23.83</v>
      </c>
      <c r="I16" s="8"/>
      <c r="J16" s="1"/>
    </row>
    <row r="17" spans="1:10" x14ac:dyDescent="0.2">
      <c r="A17" s="1" t="s">
        <v>235</v>
      </c>
      <c r="B17" s="6" t="s">
        <v>3</v>
      </c>
      <c r="C17" s="8" t="s">
        <v>11</v>
      </c>
      <c r="D17" s="8" t="s">
        <v>26</v>
      </c>
      <c r="E17" s="8" t="s">
        <v>30</v>
      </c>
      <c r="F17" s="8" t="s">
        <v>31</v>
      </c>
      <c r="G17" s="9">
        <v>5.2</v>
      </c>
      <c r="H17" s="9">
        <v>35.04</v>
      </c>
      <c r="I17" s="8"/>
      <c r="J17" s="1"/>
    </row>
    <row r="18" spans="1:10" x14ac:dyDescent="0.2">
      <c r="A18" s="1" t="s">
        <v>236</v>
      </c>
      <c r="B18" s="6" t="s">
        <v>3</v>
      </c>
      <c r="C18" s="8" t="s">
        <v>11</v>
      </c>
      <c r="D18" s="8" t="s">
        <v>27</v>
      </c>
      <c r="E18" s="8" t="s">
        <v>30</v>
      </c>
      <c r="F18" s="8" t="s">
        <v>32</v>
      </c>
      <c r="G18" s="9">
        <v>5.23</v>
      </c>
      <c r="H18" s="9">
        <v>25.3</v>
      </c>
      <c r="I18" s="8"/>
      <c r="J18" s="1"/>
    </row>
    <row r="19" spans="1:10" x14ac:dyDescent="0.2">
      <c r="A19" s="1" t="s">
        <v>237</v>
      </c>
      <c r="B19" s="6" t="s">
        <v>67</v>
      </c>
      <c r="C19" s="8" t="s">
        <v>98</v>
      </c>
      <c r="D19" s="8" t="s">
        <v>126</v>
      </c>
      <c r="E19" s="8" t="s">
        <v>28</v>
      </c>
      <c r="F19" s="8" t="s">
        <v>32</v>
      </c>
      <c r="G19" s="9">
        <v>5.22</v>
      </c>
      <c r="H19" s="9">
        <v>20.5</v>
      </c>
      <c r="I19" s="8" t="s">
        <v>220</v>
      </c>
      <c r="J19" s="1"/>
    </row>
    <row r="20" spans="1:10" x14ac:dyDescent="0.2">
      <c r="A20" s="1" t="s">
        <v>238</v>
      </c>
      <c r="B20" s="6" t="s">
        <v>67</v>
      </c>
      <c r="C20" s="8" t="s">
        <v>98</v>
      </c>
      <c r="D20" s="8" t="s">
        <v>126</v>
      </c>
      <c r="E20" s="8" t="s">
        <v>28</v>
      </c>
      <c r="F20" s="8" t="s">
        <v>31</v>
      </c>
      <c r="G20" s="9">
        <v>5.19</v>
      </c>
      <c r="H20" s="9">
        <v>21.78</v>
      </c>
      <c r="I20" s="8"/>
      <c r="J20" s="1"/>
    </row>
    <row r="21" spans="1:10" x14ac:dyDescent="0.2">
      <c r="A21" s="1" t="s">
        <v>239</v>
      </c>
      <c r="B21" s="6" t="s">
        <v>67</v>
      </c>
      <c r="C21" s="8" t="s">
        <v>98</v>
      </c>
      <c r="D21" s="8" t="s">
        <v>126</v>
      </c>
      <c r="E21" s="8" t="s">
        <v>30</v>
      </c>
      <c r="F21" s="8" t="s">
        <v>32</v>
      </c>
      <c r="G21" s="9">
        <v>5.23</v>
      </c>
      <c r="H21" s="9">
        <v>25.05</v>
      </c>
      <c r="I21" s="8" t="s">
        <v>220</v>
      </c>
      <c r="J21" s="1"/>
    </row>
    <row r="22" spans="1:10" x14ac:dyDescent="0.2">
      <c r="A22" s="1" t="s">
        <v>240</v>
      </c>
      <c r="B22" s="6" t="s">
        <v>67</v>
      </c>
      <c r="C22" s="8" t="s">
        <v>98</v>
      </c>
      <c r="D22" s="8" t="s">
        <v>126</v>
      </c>
      <c r="E22" s="8" t="s">
        <v>30</v>
      </c>
      <c r="F22" s="8" t="s">
        <v>31</v>
      </c>
      <c r="G22" s="9">
        <v>5.27</v>
      </c>
      <c r="H22" s="9">
        <v>26.27</v>
      </c>
      <c r="I22" s="8"/>
      <c r="J22" s="1"/>
    </row>
    <row r="23" spans="1:10" x14ac:dyDescent="0.2">
      <c r="A23" s="1" t="s">
        <v>241</v>
      </c>
      <c r="B23" s="6" t="s">
        <v>68</v>
      </c>
      <c r="C23" s="8" t="s">
        <v>98</v>
      </c>
      <c r="D23" s="8" t="s">
        <v>176</v>
      </c>
      <c r="E23" s="8" t="s">
        <v>28</v>
      </c>
      <c r="F23" s="8" t="s">
        <v>32</v>
      </c>
      <c r="G23" s="9">
        <v>5.21</v>
      </c>
      <c r="H23" s="9">
        <v>22.47</v>
      </c>
      <c r="I23" s="8"/>
      <c r="J23" s="1"/>
    </row>
    <row r="24" spans="1:10" x14ac:dyDescent="0.2">
      <c r="A24" s="1" t="s">
        <v>242</v>
      </c>
      <c r="B24" s="6" t="s">
        <v>68</v>
      </c>
      <c r="C24" s="8" t="s">
        <v>98</v>
      </c>
      <c r="D24" s="8" t="s">
        <v>176</v>
      </c>
      <c r="E24" s="8" t="s">
        <v>28</v>
      </c>
      <c r="F24" s="8" t="s">
        <v>31</v>
      </c>
      <c r="G24" s="9">
        <v>5.21</v>
      </c>
      <c r="H24" s="9">
        <v>23.41</v>
      </c>
      <c r="I24" s="8"/>
      <c r="J24" s="1"/>
    </row>
    <row r="25" spans="1:10" x14ac:dyDescent="0.2">
      <c r="A25" s="1" t="s">
        <v>243</v>
      </c>
      <c r="B25" s="6" t="s">
        <v>68</v>
      </c>
      <c r="C25" s="8" t="s">
        <v>98</v>
      </c>
      <c r="D25" s="8" t="s">
        <v>176</v>
      </c>
      <c r="E25" s="8" t="s">
        <v>30</v>
      </c>
      <c r="F25" s="8" t="s">
        <v>32</v>
      </c>
      <c r="G25" s="9">
        <v>5.2</v>
      </c>
      <c r="H25" s="9">
        <v>22.82</v>
      </c>
      <c r="I25" s="8"/>
      <c r="J25" s="1"/>
    </row>
    <row r="26" spans="1:10" x14ac:dyDescent="0.2">
      <c r="A26" s="1" t="s">
        <v>244</v>
      </c>
      <c r="B26" s="6" t="s">
        <v>68</v>
      </c>
      <c r="C26" s="8" t="s">
        <v>98</v>
      </c>
      <c r="D26" s="8" t="s">
        <v>176</v>
      </c>
      <c r="E26" s="8" t="s">
        <v>30</v>
      </c>
      <c r="F26" s="8" t="s">
        <v>31</v>
      </c>
      <c r="G26" s="9">
        <v>5.2</v>
      </c>
      <c r="H26" s="9">
        <v>20.23</v>
      </c>
      <c r="I26" s="8" t="s">
        <v>220</v>
      </c>
      <c r="J26" s="1"/>
    </row>
    <row r="27" spans="1:10" x14ac:dyDescent="0.2">
      <c r="A27" s="1" t="s">
        <v>245</v>
      </c>
      <c r="B27" s="6" t="s">
        <v>64</v>
      </c>
      <c r="C27" s="8" t="s">
        <v>124</v>
      </c>
      <c r="D27" s="8" t="s">
        <v>187</v>
      </c>
      <c r="E27" s="8" t="s">
        <v>28</v>
      </c>
      <c r="F27" s="8" t="s">
        <v>32</v>
      </c>
      <c r="G27" s="9">
        <v>5.34</v>
      </c>
      <c r="H27" s="9">
        <v>21.02</v>
      </c>
      <c r="I27" s="8" t="s">
        <v>220</v>
      </c>
      <c r="J27" s="1"/>
    </row>
    <row r="28" spans="1:10" x14ac:dyDescent="0.2">
      <c r="A28" s="1" t="s">
        <v>246</v>
      </c>
      <c r="B28" s="6" t="s">
        <v>64</v>
      </c>
      <c r="C28" s="8" t="s">
        <v>124</v>
      </c>
      <c r="D28" s="8" t="s">
        <v>187</v>
      </c>
      <c r="E28" s="8" t="s">
        <v>28</v>
      </c>
      <c r="F28" s="8" t="s">
        <v>31</v>
      </c>
      <c r="G28" s="9">
        <v>5.24</v>
      </c>
      <c r="H28" s="9">
        <v>19</v>
      </c>
      <c r="I28" s="8" t="s">
        <v>220</v>
      </c>
      <c r="J28" s="1"/>
    </row>
    <row r="29" spans="1:10" x14ac:dyDescent="0.2">
      <c r="A29" s="1" t="s">
        <v>247</v>
      </c>
      <c r="B29" s="6" t="s">
        <v>64</v>
      </c>
      <c r="C29" s="8" t="s">
        <v>124</v>
      </c>
      <c r="D29" s="8" t="s">
        <v>187</v>
      </c>
      <c r="E29" s="8" t="s">
        <v>30</v>
      </c>
      <c r="F29" s="8" t="s">
        <v>32</v>
      </c>
      <c r="G29" s="9">
        <v>5.23</v>
      </c>
      <c r="H29" s="9">
        <v>28.07</v>
      </c>
      <c r="I29" s="8" t="s">
        <v>220</v>
      </c>
      <c r="J29" s="1"/>
    </row>
    <row r="30" spans="1:10" x14ac:dyDescent="0.2">
      <c r="A30" s="1" t="s">
        <v>248</v>
      </c>
      <c r="B30" s="6" t="s">
        <v>64</v>
      </c>
      <c r="C30" s="8" t="s">
        <v>124</v>
      </c>
      <c r="D30" s="8" t="s">
        <v>187</v>
      </c>
      <c r="E30" s="8" t="s">
        <v>30</v>
      </c>
      <c r="F30" s="8" t="s">
        <v>31</v>
      </c>
      <c r="G30" s="9">
        <v>5.22</v>
      </c>
      <c r="H30" s="9">
        <v>26.8</v>
      </c>
      <c r="I30" s="8"/>
      <c r="J30" s="1"/>
    </row>
    <row r="31" spans="1:10" x14ac:dyDescent="0.2">
      <c r="A31" s="1" t="s">
        <v>249</v>
      </c>
      <c r="B31" s="6" t="s">
        <v>65</v>
      </c>
      <c r="C31" s="8" t="s">
        <v>124</v>
      </c>
      <c r="D31" s="8" t="s">
        <v>188</v>
      </c>
      <c r="E31" s="8" t="s">
        <v>28</v>
      </c>
      <c r="F31" s="8" t="s">
        <v>32</v>
      </c>
      <c r="G31" s="9">
        <v>5.23</v>
      </c>
      <c r="H31" s="9">
        <v>19.98</v>
      </c>
      <c r="I31" s="8" t="s">
        <v>220</v>
      </c>
      <c r="J31" s="1"/>
    </row>
    <row r="32" spans="1:10" x14ac:dyDescent="0.2">
      <c r="A32" s="1" t="s">
        <v>250</v>
      </c>
      <c r="B32" s="6" t="s">
        <v>65</v>
      </c>
      <c r="C32" s="8" t="s">
        <v>124</v>
      </c>
      <c r="D32" s="8" t="s">
        <v>188</v>
      </c>
      <c r="E32" s="8" t="s">
        <v>28</v>
      </c>
      <c r="F32" s="8" t="s">
        <v>31</v>
      </c>
      <c r="G32" s="9">
        <v>5.22</v>
      </c>
      <c r="H32" s="9">
        <v>20.239999999999998</v>
      </c>
      <c r="I32" s="8" t="s">
        <v>220</v>
      </c>
      <c r="J32" s="1"/>
    </row>
    <row r="33" spans="1:10" x14ac:dyDescent="0.2">
      <c r="A33" s="1" t="s">
        <v>251</v>
      </c>
      <c r="B33" s="6" t="s">
        <v>65</v>
      </c>
      <c r="C33" s="8" t="s">
        <v>124</v>
      </c>
      <c r="D33" s="8" t="s">
        <v>188</v>
      </c>
      <c r="E33" s="8" t="s">
        <v>30</v>
      </c>
      <c r="F33" s="8" t="s">
        <v>32</v>
      </c>
      <c r="G33" s="9">
        <v>5.23</v>
      </c>
      <c r="H33" s="9">
        <v>17.2</v>
      </c>
      <c r="I33" s="8" t="s">
        <v>220</v>
      </c>
      <c r="J33" s="1"/>
    </row>
    <row r="34" spans="1:10" x14ac:dyDescent="0.2">
      <c r="A34" s="1" t="s">
        <v>252</v>
      </c>
      <c r="B34" s="6" t="s">
        <v>65</v>
      </c>
      <c r="C34" s="8" t="s">
        <v>124</v>
      </c>
      <c r="D34" s="8" t="s">
        <v>188</v>
      </c>
      <c r="E34" s="8" t="s">
        <v>30</v>
      </c>
      <c r="F34" s="8" t="s">
        <v>31</v>
      </c>
      <c r="G34" s="9">
        <v>5.23</v>
      </c>
      <c r="H34" s="9">
        <v>22.28</v>
      </c>
      <c r="I34" s="8"/>
      <c r="J34" s="1"/>
    </row>
    <row r="35" spans="1:10" x14ac:dyDescent="0.2">
      <c r="A35" s="1" t="s">
        <v>253</v>
      </c>
      <c r="B35" s="6" t="s">
        <v>66</v>
      </c>
      <c r="C35" s="8" t="s">
        <v>124</v>
      </c>
      <c r="D35" s="8" t="s">
        <v>189</v>
      </c>
      <c r="E35" s="8" t="s">
        <v>28</v>
      </c>
      <c r="F35" s="8" t="s">
        <v>32</v>
      </c>
      <c r="G35" s="9">
        <v>5.26</v>
      </c>
      <c r="H35" s="9">
        <v>23.17</v>
      </c>
      <c r="I35" s="8" t="s">
        <v>220</v>
      </c>
      <c r="J35" s="1"/>
    </row>
    <row r="36" spans="1:10" x14ac:dyDescent="0.2">
      <c r="A36" s="1" t="s">
        <v>254</v>
      </c>
      <c r="B36" s="6" t="s">
        <v>66</v>
      </c>
      <c r="C36" s="8" t="s">
        <v>124</v>
      </c>
      <c r="D36" s="8" t="s">
        <v>189</v>
      </c>
      <c r="E36" s="8" t="s">
        <v>28</v>
      </c>
      <c r="F36" s="8" t="s">
        <v>31</v>
      </c>
      <c r="G36" s="9">
        <v>5.23</v>
      </c>
      <c r="H36" s="9">
        <v>17.420000000000002</v>
      </c>
      <c r="I36" s="8" t="s">
        <v>220</v>
      </c>
      <c r="J36" s="1"/>
    </row>
    <row r="37" spans="1:10" x14ac:dyDescent="0.2">
      <c r="A37" s="1" t="s">
        <v>255</v>
      </c>
      <c r="B37" s="6" t="s">
        <v>66</v>
      </c>
      <c r="C37" s="8" t="s">
        <v>124</v>
      </c>
      <c r="D37" s="8" t="s">
        <v>189</v>
      </c>
      <c r="E37" s="8" t="s">
        <v>30</v>
      </c>
      <c r="F37" s="8" t="s">
        <v>32</v>
      </c>
      <c r="G37" s="9">
        <v>5.28</v>
      </c>
      <c r="H37" s="9">
        <v>31.3</v>
      </c>
      <c r="I37" s="8"/>
      <c r="J37" s="1"/>
    </row>
    <row r="38" spans="1:10" x14ac:dyDescent="0.2">
      <c r="A38" s="1" t="s">
        <v>256</v>
      </c>
      <c r="B38" s="6" t="s">
        <v>66</v>
      </c>
      <c r="C38" s="8" t="s">
        <v>124</v>
      </c>
      <c r="D38" s="8" t="s">
        <v>189</v>
      </c>
      <c r="E38" s="8" t="s">
        <v>30</v>
      </c>
      <c r="F38" s="8" t="s">
        <v>31</v>
      </c>
      <c r="G38" s="9">
        <v>5.25</v>
      </c>
      <c r="H38" s="9">
        <v>22.78</v>
      </c>
      <c r="I38" s="8"/>
      <c r="J38" s="1"/>
    </row>
    <row r="39" spans="1:10" x14ac:dyDescent="0.2">
      <c r="A39" s="1" t="s">
        <v>257</v>
      </c>
      <c r="B39" s="6" t="s">
        <v>69</v>
      </c>
      <c r="C39" s="8" t="s">
        <v>124</v>
      </c>
      <c r="D39" s="8" t="s">
        <v>186</v>
      </c>
      <c r="E39" s="8" t="s">
        <v>28</v>
      </c>
      <c r="F39" s="8" t="s">
        <v>32</v>
      </c>
      <c r="G39" s="1">
        <v>5.23</v>
      </c>
      <c r="H39" s="9">
        <v>28.6</v>
      </c>
      <c r="I39" s="8" t="s">
        <v>220</v>
      </c>
      <c r="J39" s="1"/>
    </row>
    <row r="40" spans="1:10" x14ac:dyDescent="0.2">
      <c r="A40" s="1" t="s">
        <v>258</v>
      </c>
      <c r="B40" s="6" t="s">
        <v>69</v>
      </c>
      <c r="C40" s="8" t="s">
        <v>124</v>
      </c>
      <c r="D40" s="8" t="s">
        <v>186</v>
      </c>
      <c r="E40" s="8" t="s">
        <v>28</v>
      </c>
      <c r="F40" s="8" t="s">
        <v>31</v>
      </c>
      <c r="G40" s="1">
        <v>5.26</v>
      </c>
      <c r="H40" s="9">
        <v>25.52</v>
      </c>
      <c r="I40" s="8"/>
      <c r="J40" s="1"/>
    </row>
    <row r="41" spans="1:10" x14ac:dyDescent="0.2">
      <c r="A41" s="1" t="s">
        <v>259</v>
      </c>
      <c r="B41" s="6" t="s">
        <v>69</v>
      </c>
      <c r="C41" s="8" t="s">
        <v>124</v>
      </c>
      <c r="D41" s="8" t="s">
        <v>186</v>
      </c>
      <c r="E41" s="8" t="s">
        <v>30</v>
      </c>
      <c r="F41" s="8" t="s">
        <v>32</v>
      </c>
      <c r="G41" s="1">
        <v>5.25</v>
      </c>
      <c r="H41" s="9">
        <v>23.02</v>
      </c>
      <c r="I41" s="8" t="s">
        <v>220</v>
      </c>
      <c r="J41" s="1"/>
    </row>
    <row r="42" spans="1:10" x14ac:dyDescent="0.2">
      <c r="A42" s="1" t="s">
        <v>260</v>
      </c>
      <c r="B42" s="6" t="s">
        <v>69</v>
      </c>
      <c r="C42" s="8" t="s">
        <v>124</v>
      </c>
      <c r="D42" s="8" t="s">
        <v>186</v>
      </c>
      <c r="E42" s="8" t="s">
        <v>30</v>
      </c>
      <c r="F42" s="8" t="s">
        <v>31</v>
      </c>
      <c r="G42" s="1">
        <v>5.28</v>
      </c>
      <c r="H42" s="9">
        <v>19.93</v>
      </c>
      <c r="I42" s="8"/>
      <c r="J42" s="1"/>
    </row>
  </sheetData>
  <sortState xmlns:xlrd2="http://schemas.microsoft.com/office/spreadsheetml/2017/richdata2" ref="B3:B18">
    <sortCondition ref="B3:B18"/>
  </sortState>
  <mergeCells count="2">
    <mergeCell ref="C1:F1"/>
    <mergeCell ref="G1:J1"/>
  </mergeCells>
  <phoneticPr fontId="1" type="noConversion"/>
  <pageMargins left="0.7" right="0.7" top="0.75" bottom="0.75" header="0.3" footer="0.3"/>
  <pageSetup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1F2B3D-C345-2741-9DC8-3C2C97188AA1}">
  <dimension ref="A1:G58"/>
  <sheetViews>
    <sheetView topLeftCell="A12" workbookViewId="0">
      <selection activeCell="A3" sqref="A3:A58"/>
    </sheetView>
  </sheetViews>
  <sheetFormatPr baseColWidth="10" defaultRowHeight="16" x14ac:dyDescent="0.2"/>
  <cols>
    <col min="1" max="1" width="18.5" bestFit="1" customWidth="1"/>
    <col min="2" max="2" width="15.6640625" customWidth="1"/>
    <col min="3" max="5" width="10.83203125" style="4"/>
    <col min="6" max="6" width="15.6640625" customWidth="1"/>
    <col min="7" max="7" width="59.1640625" customWidth="1"/>
  </cols>
  <sheetData>
    <row r="1" spans="1:7" ht="22" x14ac:dyDescent="0.3">
      <c r="C1" s="37" t="s">
        <v>33</v>
      </c>
      <c r="D1" s="37"/>
      <c r="E1" s="37"/>
      <c r="F1" s="37"/>
    </row>
    <row r="2" spans="1:7" x14ac:dyDescent="0.2">
      <c r="A2" s="3" t="s">
        <v>5</v>
      </c>
      <c r="B2" s="3" t="s">
        <v>4</v>
      </c>
      <c r="C2" s="7" t="s">
        <v>6</v>
      </c>
      <c r="D2" s="7" t="s">
        <v>7</v>
      </c>
      <c r="E2" s="7" t="s">
        <v>8</v>
      </c>
      <c r="F2" s="3" t="s">
        <v>9</v>
      </c>
      <c r="G2" s="3" t="s">
        <v>94</v>
      </c>
    </row>
    <row r="3" spans="1:7" x14ac:dyDescent="0.2">
      <c r="A3" s="1" t="s">
        <v>128</v>
      </c>
      <c r="B3" s="1" t="s">
        <v>67</v>
      </c>
      <c r="C3" s="8" t="s">
        <v>98</v>
      </c>
      <c r="D3" s="8" t="s">
        <v>126</v>
      </c>
      <c r="E3" s="8" t="s">
        <v>28</v>
      </c>
      <c r="F3" s="8" t="s">
        <v>32</v>
      </c>
      <c r="G3" s="9" t="s">
        <v>127</v>
      </c>
    </row>
    <row r="4" spans="1:7" x14ac:dyDescent="0.2">
      <c r="A4" s="1" t="s">
        <v>129</v>
      </c>
      <c r="B4" s="1" t="s">
        <v>67</v>
      </c>
      <c r="C4" s="8" t="s">
        <v>98</v>
      </c>
      <c r="D4" s="8" t="s">
        <v>126</v>
      </c>
      <c r="E4" s="8" t="s">
        <v>28</v>
      </c>
      <c r="F4" s="8" t="s">
        <v>32</v>
      </c>
      <c r="G4" s="9" t="s">
        <v>127</v>
      </c>
    </row>
    <row r="5" spans="1:7" x14ac:dyDescent="0.2">
      <c r="A5" s="1" t="s">
        <v>130</v>
      </c>
      <c r="B5" s="1" t="s">
        <v>67</v>
      </c>
      <c r="C5" s="8" t="s">
        <v>98</v>
      </c>
      <c r="D5" s="8" t="s">
        <v>126</v>
      </c>
      <c r="E5" s="8" t="s">
        <v>28</v>
      </c>
      <c r="F5" s="8" t="s">
        <v>31</v>
      </c>
      <c r="G5" s="9" t="s">
        <v>127</v>
      </c>
    </row>
    <row r="6" spans="1:7" x14ac:dyDescent="0.2">
      <c r="A6" s="1" t="s">
        <v>131</v>
      </c>
      <c r="B6" s="1" t="s">
        <v>67</v>
      </c>
      <c r="C6" s="8" t="s">
        <v>98</v>
      </c>
      <c r="D6" s="8" t="s">
        <v>126</v>
      </c>
      <c r="E6" s="8" t="s">
        <v>28</v>
      </c>
      <c r="F6" s="8" t="s">
        <v>31</v>
      </c>
      <c r="G6" s="9" t="s">
        <v>127</v>
      </c>
    </row>
    <row r="7" spans="1:7" x14ac:dyDescent="0.2">
      <c r="A7" s="1" t="s">
        <v>132</v>
      </c>
      <c r="B7" s="1" t="s">
        <v>67</v>
      </c>
      <c r="C7" s="8" t="s">
        <v>98</v>
      </c>
      <c r="D7" s="8" t="s">
        <v>126</v>
      </c>
      <c r="E7" s="8" t="s">
        <v>30</v>
      </c>
      <c r="F7" s="8" t="s">
        <v>32</v>
      </c>
      <c r="G7" s="9" t="s">
        <v>127</v>
      </c>
    </row>
    <row r="8" spans="1:7" x14ac:dyDescent="0.2">
      <c r="A8" s="1" t="s">
        <v>133</v>
      </c>
      <c r="B8" s="1" t="s">
        <v>67</v>
      </c>
      <c r="C8" s="8" t="s">
        <v>98</v>
      </c>
      <c r="D8" s="8" t="s">
        <v>126</v>
      </c>
      <c r="E8" s="8" t="s">
        <v>30</v>
      </c>
      <c r="F8" s="8" t="s">
        <v>32</v>
      </c>
      <c r="G8" s="9" t="s">
        <v>127</v>
      </c>
    </row>
    <row r="9" spans="1:7" x14ac:dyDescent="0.2">
      <c r="A9" s="1" t="s">
        <v>134</v>
      </c>
      <c r="B9" s="1" t="s">
        <v>67</v>
      </c>
      <c r="C9" s="8" t="s">
        <v>98</v>
      </c>
      <c r="D9" s="8" t="s">
        <v>126</v>
      </c>
      <c r="E9" s="8" t="s">
        <v>30</v>
      </c>
      <c r="F9" s="8" t="s">
        <v>31</v>
      </c>
      <c r="G9" s="9" t="s">
        <v>127</v>
      </c>
    </row>
    <row r="10" spans="1:7" x14ac:dyDescent="0.2">
      <c r="A10" s="1" t="s">
        <v>135</v>
      </c>
      <c r="B10" s="1" t="s">
        <v>67</v>
      </c>
      <c r="C10" s="8" t="s">
        <v>98</v>
      </c>
      <c r="D10" s="8" t="s">
        <v>126</v>
      </c>
      <c r="E10" s="8" t="s">
        <v>30</v>
      </c>
      <c r="F10" s="8" t="s">
        <v>31</v>
      </c>
      <c r="G10" s="9" t="s">
        <v>127</v>
      </c>
    </row>
    <row r="11" spans="1:7" x14ac:dyDescent="0.2">
      <c r="A11" s="1" t="s">
        <v>136</v>
      </c>
      <c r="B11" s="1" t="s">
        <v>68</v>
      </c>
      <c r="C11" s="8" t="s">
        <v>98</v>
      </c>
      <c r="D11" s="8" t="s">
        <v>176</v>
      </c>
      <c r="E11" s="8" t="s">
        <v>28</v>
      </c>
      <c r="F11" s="8" t="s">
        <v>32</v>
      </c>
      <c r="G11" s="9" t="s">
        <v>127</v>
      </c>
    </row>
    <row r="12" spans="1:7" x14ac:dyDescent="0.2">
      <c r="A12" s="1" t="s">
        <v>137</v>
      </c>
      <c r="B12" s="1" t="s">
        <v>68</v>
      </c>
      <c r="C12" s="8" t="s">
        <v>98</v>
      </c>
      <c r="D12" s="8" t="s">
        <v>176</v>
      </c>
      <c r="E12" s="8" t="s">
        <v>28</v>
      </c>
      <c r="F12" s="8" t="s">
        <v>32</v>
      </c>
      <c r="G12" s="9" t="s">
        <v>127</v>
      </c>
    </row>
    <row r="13" spans="1:7" x14ac:dyDescent="0.2">
      <c r="A13" s="1" t="s">
        <v>138</v>
      </c>
      <c r="B13" s="1" t="s">
        <v>68</v>
      </c>
      <c r="C13" s="8" t="s">
        <v>98</v>
      </c>
      <c r="D13" s="8" t="s">
        <v>176</v>
      </c>
      <c r="E13" s="8" t="s">
        <v>28</v>
      </c>
      <c r="F13" s="8" t="s">
        <v>31</v>
      </c>
      <c r="G13" s="9" t="s">
        <v>127</v>
      </c>
    </row>
    <row r="14" spans="1:7" x14ac:dyDescent="0.2">
      <c r="A14" s="1" t="s">
        <v>139</v>
      </c>
      <c r="B14" s="1" t="s">
        <v>68</v>
      </c>
      <c r="C14" s="8" t="s">
        <v>98</v>
      </c>
      <c r="D14" s="8" t="s">
        <v>176</v>
      </c>
      <c r="E14" s="8" t="s">
        <v>28</v>
      </c>
      <c r="F14" s="8" t="s">
        <v>31</v>
      </c>
      <c r="G14" s="9" t="s">
        <v>127</v>
      </c>
    </row>
    <row r="15" spans="1:7" x14ac:dyDescent="0.2">
      <c r="A15" s="1" t="s">
        <v>140</v>
      </c>
      <c r="B15" s="1" t="s">
        <v>68</v>
      </c>
      <c r="C15" s="8" t="s">
        <v>98</v>
      </c>
      <c r="D15" s="8" t="s">
        <v>176</v>
      </c>
      <c r="E15" s="8" t="s">
        <v>30</v>
      </c>
      <c r="F15" s="8" t="s">
        <v>32</v>
      </c>
      <c r="G15" s="9" t="s">
        <v>127</v>
      </c>
    </row>
    <row r="16" spans="1:7" x14ac:dyDescent="0.2">
      <c r="A16" s="1" t="s">
        <v>141</v>
      </c>
      <c r="B16" s="1" t="s">
        <v>68</v>
      </c>
      <c r="C16" s="8" t="s">
        <v>98</v>
      </c>
      <c r="D16" s="8" t="s">
        <v>176</v>
      </c>
      <c r="E16" s="8" t="s">
        <v>30</v>
      </c>
      <c r="F16" s="8" t="s">
        <v>32</v>
      </c>
      <c r="G16" s="9" t="s">
        <v>127</v>
      </c>
    </row>
    <row r="17" spans="1:7" x14ac:dyDescent="0.2">
      <c r="A17" s="1" t="s">
        <v>142</v>
      </c>
      <c r="B17" s="1" t="s">
        <v>68</v>
      </c>
      <c r="C17" s="8" t="s">
        <v>98</v>
      </c>
      <c r="D17" s="8" t="s">
        <v>176</v>
      </c>
      <c r="E17" s="8" t="s">
        <v>30</v>
      </c>
      <c r="F17" s="8" t="s">
        <v>31</v>
      </c>
      <c r="G17" s="9" t="s">
        <v>127</v>
      </c>
    </row>
    <row r="18" spans="1:7" x14ac:dyDescent="0.2">
      <c r="A18" s="1" t="s">
        <v>143</v>
      </c>
      <c r="B18" s="1" t="s">
        <v>68</v>
      </c>
      <c r="C18" s="8" t="s">
        <v>98</v>
      </c>
      <c r="D18" s="8" t="s">
        <v>176</v>
      </c>
      <c r="E18" s="8" t="s">
        <v>30</v>
      </c>
      <c r="F18" s="8" t="s">
        <v>31</v>
      </c>
      <c r="G18" s="9" t="s">
        <v>127</v>
      </c>
    </row>
    <row r="19" spans="1:7" x14ac:dyDescent="0.2">
      <c r="A19" s="1" t="s">
        <v>144</v>
      </c>
      <c r="B19" s="1" t="s">
        <v>65</v>
      </c>
      <c r="C19" s="8" t="s">
        <v>124</v>
      </c>
      <c r="D19" s="8" t="s">
        <v>188</v>
      </c>
      <c r="E19" s="8" t="s">
        <v>28</v>
      </c>
      <c r="F19" s="8" t="s">
        <v>32</v>
      </c>
      <c r="G19" s="9" t="s">
        <v>127</v>
      </c>
    </row>
    <row r="20" spans="1:7" x14ac:dyDescent="0.2">
      <c r="A20" s="1" t="s">
        <v>145</v>
      </c>
      <c r="B20" s="1" t="s">
        <v>65</v>
      </c>
      <c r="C20" s="8" t="s">
        <v>124</v>
      </c>
      <c r="D20" s="8" t="s">
        <v>188</v>
      </c>
      <c r="E20" s="8" t="s">
        <v>28</v>
      </c>
      <c r="F20" s="8" t="s">
        <v>32</v>
      </c>
      <c r="G20" s="9" t="s">
        <v>127</v>
      </c>
    </row>
    <row r="21" spans="1:7" x14ac:dyDescent="0.2">
      <c r="A21" s="1" t="s">
        <v>146</v>
      </c>
      <c r="B21" s="1" t="s">
        <v>65</v>
      </c>
      <c r="C21" s="8" t="s">
        <v>124</v>
      </c>
      <c r="D21" s="8" t="s">
        <v>188</v>
      </c>
      <c r="E21" s="8" t="s">
        <v>28</v>
      </c>
      <c r="F21" s="8" t="s">
        <v>31</v>
      </c>
      <c r="G21" s="9" t="s">
        <v>127</v>
      </c>
    </row>
    <row r="22" spans="1:7" x14ac:dyDescent="0.2">
      <c r="A22" s="1" t="s">
        <v>147</v>
      </c>
      <c r="B22" s="1" t="s">
        <v>65</v>
      </c>
      <c r="C22" s="8" t="s">
        <v>124</v>
      </c>
      <c r="D22" s="8" t="s">
        <v>188</v>
      </c>
      <c r="E22" s="8" t="s">
        <v>28</v>
      </c>
      <c r="F22" s="8" t="s">
        <v>31</v>
      </c>
      <c r="G22" s="9" t="s">
        <v>127</v>
      </c>
    </row>
    <row r="23" spans="1:7" x14ac:dyDescent="0.2">
      <c r="A23" s="1" t="s">
        <v>148</v>
      </c>
      <c r="B23" s="1" t="s">
        <v>65</v>
      </c>
      <c r="C23" s="8" t="s">
        <v>124</v>
      </c>
      <c r="D23" s="8" t="s">
        <v>188</v>
      </c>
      <c r="E23" s="8" t="s">
        <v>30</v>
      </c>
      <c r="F23" s="8" t="s">
        <v>32</v>
      </c>
      <c r="G23" s="9" t="s">
        <v>127</v>
      </c>
    </row>
    <row r="24" spans="1:7" x14ac:dyDescent="0.2">
      <c r="A24" s="1" t="s">
        <v>149</v>
      </c>
      <c r="B24" s="1" t="s">
        <v>65</v>
      </c>
      <c r="C24" s="8" t="s">
        <v>124</v>
      </c>
      <c r="D24" s="8" t="s">
        <v>188</v>
      </c>
      <c r="E24" s="8" t="s">
        <v>30</v>
      </c>
      <c r="F24" s="8" t="s">
        <v>32</v>
      </c>
      <c r="G24" s="9" t="s">
        <v>127</v>
      </c>
    </row>
    <row r="25" spans="1:7" x14ac:dyDescent="0.2">
      <c r="A25" s="1" t="s">
        <v>150</v>
      </c>
      <c r="B25" s="1" t="s">
        <v>65</v>
      </c>
      <c r="C25" s="8" t="s">
        <v>124</v>
      </c>
      <c r="D25" s="8" t="s">
        <v>188</v>
      </c>
      <c r="E25" s="8" t="s">
        <v>30</v>
      </c>
      <c r="F25" s="8" t="s">
        <v>31</v>
      </c>
      <c r="G25" s="9" t="s">
        <v>127</v>
      </c>
    </row>
    <row r="26" spans="1:7" x14ac:dyDescent="0.2">
      <c r="A26" s="1" t="s">
        <v>151</v>
      </c>
      <c r="B26" s="1" t="s">
        <v>65</v>
      </c>
      <c r="C26" s="8" t="s">
        <v>124</v>
      </c>
      <c r="D26" s="8" t="s">
        <v>188</v>
      </c>
      <c r="E26" s="8" t="s">
        <v>30</v>
      </c>
      <c r="F26" s="8" t="s">
        <v>31</v>
      </c>
      <c r="G26" s="9" t="s">
        <v>127</v>
      </c>
    </row>
    <row r="27" spans="1:7" x14ac:dyDescent="0.2">
      <c r="A27" s="1" t="s">
        <v>152</v>
      </c>
      <c r="B27" s="1" t="s">
        <v>64</v>
      </c>
      <c r="C27" s="8" t="s">
        <v>124</v>
      </c>
      <c r="D27" s="8" t="s">
        <v>187</v>
      </c>
      <c r="E27" s="8" t="s">
        <v>28</v>
      </c>
      <c r="F27" s="8" t="s">
        <v>32</v>
      </c>
      <c r="G27" s="9" t="s">
        <v>127</v>
      </c>
    </row>
    <row r="28" spans="1:7" x14ac:dyDescent="0.2">
      <c r="A28" s="1" t="s">
        <v>153</v>
      </c>
      <c r="B28" s="1" t="s">
        <v>64</v>
      </c>
      <c r="C28" s="8" t="s">
        <v>124</v>
      </c>
      <c r="D28" s="8" t="s">
        <v>187</v>
      </c>
      <c r="E28" s="8" t="s">
        <v>28</v>
      </c>
      <c r="F28" s="8" t="s">
        <v>32</v>
      </c>
      <c r="G28" s="9" t="s">
        <v>127</v>
      </c>
    </row>
    <row r="29" spans="1:7" x14ac:dyDescent="0.2">
      <c r="A29" s="1" t="s">
        <v>154</v>
      </c>
      <c r="B29" s="1" t="s">
        <v>64</v>
      </c>
      <c r="C29" s="8" t="s">
        <v>124</v>
      </c>
      <c r="D29" s="8" t="s">
        <v>187</v>
      </c>
      <c r="E29" s="8" t="s">
        <v>28</v>
      </c>
      <c r="F29" s="8" t="s">
        <v>31</v>
      </c>
      <c r="G29" s="9" t="s">
        <v>127</v>
      </c>
    </row>
    <row r="30" spans="1:7" x14ac:dyDescent="0.2">
      <c r="A30" s="1" t="s">
        <v>155</v>
      </c>
      <c r="B30" s="1" t="s">
        <v>64</v>
      </c>
      <c r="C30" s="8" t="s">
        <v>124</v>
      </c>
      <c r="D30" s="8" t="s">
        <v>187</v>
      </c>
      <c r="E30" s="8" t="s">
        <v>28</v>
      </c>
      <c r="F30" s="8" t="s">
        <v>31</v>
      </c>
      <c r="G30" s="9" t="s">
        <v>127</v>
      </c>
    </row>
    <row r="31" spans="1:7" x14ac:dyDescent="0.2">
      <c r="A31" s="1" t="s">
        <v>156</v>
      </c>
      <c r="B31" s="1" t="s">
        <v>64</v>
      </c>
      <c r="C31" s="8" t="s">
        <v>124</v>
      </c>
      <c r="D31" s="8" t="s">
        <v>187</v>
      </c>
      <c r="E31" s="8" t="s">
        <v>30</v>
      </c>
      <c r="F31" s="8" t="s">
        <v>32</v>
      </c>
      <c r="G31" s="9" t="s">
        <v>127</v>
      </c>
    </row>
    <row r="32" spans="1:7" x14ac:dyDescent="0.2">
      <c r="A32" s="1" t="s">
        <v>157</v>
      </c>
      <c r="B32" s="1" t="s">
        <v>64</v>
      </c>
      <c r="C32" s="8" t="s">
        <v>124</v>
      </c>
      <c r="D32" s="8" t="s">
        <v>187</v>
      </c>
      <c r="E32" s="8" t="s">
        <v>30</v>
      </c>
      <c r="F32" s="8" t="s">
        <v>32</v>
      </c>
      <c r="G32" s="9" t="s">
        <v>127</v>
      </c>
    </row>
    <row r="33" spans="1:7" x14ac:dyDescent="0.2">
      <c r="A33" s="1" t="s">
        <v>158</v>
      </c>
      <c r="B33" s="1" t="s">
        <v>64</v>
      </c>
      <c r="C33" s="8" t="s">
        <v>124</v>
      </c>
      <c r="D33" s="8" t="s">
        <v>187</v>
      </c>
      <c r="E33" s="8" t="s">
        <v>30</v>
      </c>
      <c r="F33" s="8" t="s">
        <v>31</v>
      </c>
      <c r="G33" s="9" t="s">
        <v>127</v>
      </c>
    </row>
    <row r="34" spans="1:7" x14ac:dyDescent="0.2">
      <c r="A34" s="1" t="s">
        <v>159</v>
      </c>
      <c r="B34" s="1" t="s">
        <v>64</v>
      </c>
      <c r="C34" s="8" t="s">
        <v>124</v>
      </c>
      <c r="D34" s="8" t="s">
        <v>187</v>
      </c>
      <c r="E34" s="8" t="s">
        <v>30</v>
      </c>
      <c r="F34" s="8" t="s">
        <v>31</v>
      </c>
      <c r="G34" s="9" t="s">
        <v>127</v>
      </c>
    </row>
    <row r="35" spans="1:7" x14ac:dyDescent="0.2">
      <c r="A35" s="1" t="s">
        <v>160</v>
      </c>
      <c r="B35" s="1" t="s">
        <v>69</v>
      </c>
      <c r="C35" s="8" t="s">
        <v>124</v>
      </c>
      <c r="D35" s="8" t="s">
        <v>186</v>
      </c>
      <c r="E35" s="8" t="s">
        <v>28</v>
      </c>
      <c r="F35" s="8" t="s">
        <v>32</v>
      </c>
      <c r="G35" s="9" t="s">
        <v>127</v>
      </c>
    </row>
    <row r="36" spans="1:7" x14ac:dyDescent="0.2">
      <c r="A36" s="1" t="s">
        <v>161</v>
      </c>
      <c r="B36" s="1" t="s">
        <v>69</v>
      </c>
      <c r="C36" s="8" t="s">
        <v>124</v>
      </c>
      <c r="D36" s="8" t="s">
        <v>186</v>
      </c>
      <c r="E36" s="8" t="s">
        <v>28</v>
      </c>
      <c r="F36" s="8" t="s">
        <v>32</v>
      </c>
      <c r="G36" s="9" t="s">
        <v>127</v>
      </c>
    </row>
    <row r="37" spans="1:7" x14ac:dyDescent="0.2">
      <c r="A37" s="1" t="s">
        <v>162</v>
      </c>
      <c r="B37" s="1" t="s">
        <v>69</v>
      </c>
      <c r="C37" s="8" t="s">
        <v>124</v>
      </c>
      <c r="D37" s="8" t="s">
        <v>186</v>
      </c>
      <c r="E37" s="8" t="s">
        <v>28</v>
      </c>
      <c r="F37" s="8" t="s">
        <v>31</v>
      </c>
      <c r="G37" s="9" t="s">
        <v>127</v>
      </c>
    </row>
    <row r="38" spans="1:7" x14ac:dyDescent="0.2">
      <c r="A38" s="1" t="s">
        <v>163</v>
      </c>
      <c r="B38" s="1" t="s">
        <v>69</v>
      </c>
      <c r="C38" s="8" t="s">
        <v>124</v>
      </c>
      <c r="D38" s="8" t="s">
        <v>186</v>
      </c>
      <c r="E38" s="8" t="s">
        <v>28</v>
      </c>
      <c r="F38" s="8" t="s">
        <v>31</v>
      </c>
      <c r="G38" s="9" t="s">
        <v>127</v>
      </c>
    </row>
    <row r="39" spans="1:7" x14ac:dyDescent="0.2">
      <c r="A39" s="1" t="s">
        <v>164</v>
      </c>
      <c r="B39" s="1" t="s">
        <v>69</v>
      </c>
      <c r="C39" s="8" t="s">
        <v>124</v>
      </c>
      <c r="D39" s="8" t="s">
        <v>186</v>
      </c>
      <c r="E39" s="8" t="s">
        <v>30</v>
      </c>
      <c r="F39" s="8" t="s">
        <v>32</v>
      </c>
      <c r="G39" s="9" t="s">
        <v>127</v>
      </c>
    </row>
    <row r="40" spans="1:7" x14ac:dyDescent="0.2">
      <c r="A40" s="1" t="s">
        <v>165</v>
      </c>
      <c r="B40" s="1" t="s">
        <v>69</v>
      </c>
      <c r="C40" s="8" t="s">
        <v>124</v>
      </c>
      <c r="D40" s="8" t="s">
        <v>186</v>
      </c>
      <c r="E40" s="8" t="s">
        <v>30</v>
      </c>
      <c r="F40" s="8" t="s">
        <v>32</v>
      </c>
      <c r="G40" s="9" t="s">
        <v>127</v>
      </c>
    </row>
    <row r="41" spans="1:7" x14ac:dyDescent="0.2">
      <c r="A41" s="1" t="s">
        <v>166</v>
      </c>
      <c r="B41" s="1" t="s">
        <v>69</v>
      </c>
      <c r="C41" s="8" t="s">
        <v>124</v>
      </c>
      <c r="D41" s="8" t="s">
        <v>186</v>
      </c>
      <c r="E41" s="8" t="s">
        <v>30</v>
      </c>
      <c r="F41" s="8" t="s">
        <v>31</v>
      </c>
      <c r="G41" s="9" t="s">
        <v>127</v>
      </c>
    </row>
    <row r="42" spans="1:7" x14ac:dyDescent="0.2">
      <c r="A42" s="1" t="s">
        <v>167</v>
      </c>
      <c r="B42" s="1" t="s">
        <v>69</v>
      </c>
      <c r="C42" s="8" t="s">
        <v>124</v>
      </c>
      <c r="D42" s="8" t="s">
        <v>186</v>
      </c>
      <c r="E42" s="8" t="s">
        <v>30</v>
      </c>
      <c r="F42" s="8" t="s">
        <v>31</v>
      </c>
      <c r="G42" s="9" t="s">
        <v>127</v>
      </c>
    </row>
    <row r="43" spans="1:7" x14ac:dyDescent="0.2">
      <c r="A43" s="1" t="s">
        <v>168</v>
      </c>
      <c r="B43" s="1" t="s">
        <v>66</v>
      </c>
      <c r="C43" s="8" t="s">
        <v>124</v>
      </c>
      <c r="D43" s="8" t="s">
        <v>189</v>
      </c>
      <c r="E43" s="8" t="s">
        <v>28</v>
      </c>
      <c r="F43" s="8" t="s">
        <v>32</v>
      </c>
      <c r="G43" s="9" t="s">
        <v>127</v>
      </c>
    </row>
    <row r="44" spans="1:7" x14ac:dyDescent="0.2">
      <c r="A44" s="1" t="s">
        <v>169</v>
      </c>
      <c r="B44" s="1" t="s">
        <v>66</v>
      </c>
      <c r="C44" s="8" t="s">
        <v>124</v>
      </c>
      <c r="D44" s="8" t="s">
        <v>189</v>
      </c>
      <c r="E44" s="8" t="s">
        <v>28</v>
      </c>
      <c r="F44" s="8" t="s">
        <v>32</v>
      </c>
      <c r="G44" s="9" t="s">
        <v>127</v>
      </c>
    </row>
    <row r="45" spans="1:7" x14ac:dyDescent="0.2">
      <c r="A45" s="1" t="s">
        <v>170</v>
      </c>
      <c r="B45" s="1" t="s">
        <v>66</v>
      </c>
      <c r="C45" s="8" t="s">
        <v>124</v>
      </c>
      <c r="D45" s="8" t="s">
        <v>189</v>
      </c>
      <c r="E45" s="8" t="s">
        <v>28</v>
      </c>
      <c r="F45" s="8" t="s">
        <v>31</v>
      </c>
      <c r="G45" s="9" t="s">
        <v>127</v>
      </c>
    </row>
    <row r="46" spans="1:7" x14ac:dyDescent="0.2">
      <c r="A46" s="1" t="s">
        <v>171</v>
      </c>
      <c r="B46" s="1" t="s">
        <v>66</v>
      </c>
      <c r="C46" s="8" t="s">
        <v>124</v>
      </c>
      <c r="D46" s="8" t="s">
        <v>189</v>
      </c>
      <c r="E46" s="8" t="s">
        <v>28</v>
      </c>
      <c r="F46" s="8" t="s">
        <v>31</v>
      </c>
      <c r="G46" s="9" t="s">
        <v>127</v>
      </c>
    </row>
    <row r="47" spans="1:7" x14ac:dyDescent="0.2">
      <c r="A47" s="1" t="s">
        <v>172</v>
      </c>
      <c r="B47" s="1" t="s">
        <v>66</v>
      </c>
      <c r="C47" s="8" t="s">
        <v>124</v>
      </c>
      <c r="D47" s="8" t="s">
        <v>189</v>
      </c>
      <c r="E47" s="8" t="s">
        <v>30</v>
      </c>
      <c r="F47" s="8" t="s">
        <v>32</v>
      </c>
      <c r="G47" s="9" t="s">
        <v>127</v>
      </c>
    </row>
    <row r="48" spans="1:7" x14ac:dyDescent="0.2">
      <c r="A48" s="1" t="s">
        <v>173</v>
      </c>
      <c r="B48" s="1" t="s">
        <v>66</v>
      </c>
      <c r="C48" s="8" t="s">
        <v>124</v>
      </c>
      <c r="D48" s="8" t="s">
        <v>189</v>
      </c>
      <c r="E48" s="8" t="s">
        <v>30</v>
      </c>
      <c r="F48" s="8" t="s">
        <v>32</v>
      </c>
      <c r="G48" s="9" t="s">
        <v>127</v>
      </c>
    </row>
    <row r="49" spans="1:7" x14ac:dyDescent="0.2">
      <c r="A49" s="1" t="s">
        <v>174</v>
      </c>
      <c r="B49" s="1" t="s">
        <v>66</v>
      </c>
      <c r="C49" s="8" t="s">
        <v>124</v>
      </c>
      <c r="D49" s="8" t="s">
        <v>189</v>
      </c>
      <c r="E49" s="8" t="s">
        <v>30</v>
      </c>
      <c r="F49" s="8" t="s">
        <v>31</v>
      </c>
      <c r="G49" s="9" t="s">
        <v>127</v>
      </c>
    </row>
    <row r="50" spans="1:7" x14ac:dyDescent="0.2">
      <c r="A50" s="1" t="s">
        <v>175</v>
      </c>
      <c r="B50" s="1" t="s">
        <v>66</v>
      </c>
      <c r="C50" s="8" t="s">
        <v>124</v>
      </c>
      <c r="D50" s="8" t="s">
        <v>189</v>
      </c>
      <c r="E50" s="8" t="s">
        <v>30</v>
      </c>
      <c r="F50" s="8" t="s">
        <v>31</v>
      </c>
      <c r="G50" s="9" t="s">
        <v>127</v>
      </c>
    </row>
    <row r="51" spans="1:7" x14ac:dyDescent="0.2">
      <c r="A51" s="1" t="s">
        <v>190</v>
      </c>
      <c r="B51" s="1" t="s">
        <v>43</v>
      </c>
      <c r="C51" s="8" t="s">
        <v>200</v>
      </c>
      <c r="D51" s="8"/>
      <c r="E51" s="8"/>
      <c r="F51" s="1"/>
      <c r="G51" s="9" t="s">
        <v>198</v>
      </c>
    </row>
    <row r="52" spans="1:7" x14ac:dyDescent="0.2">
      <c r="A52" s="1" t="s">
        <v>191</v>
      </c>
      <c r="B52" s="1" t="s">
        <v>43</v>
      </c>
      <c r="C52" s="8" t="s">
        <v>200</v>
      </c>
      <c r="D52" s="8"/>
      <c r="E52" s="8"/>
      <c r="F52" s="1"/>
      <c r="G52" s="9" t="s">
        <v>198</v>
      </c>
    </row>
    <row r="53" spans="1:7" x14ac:dyDescent="0.2">
      <c r="A53" s="1" t="s">
        <v>192</v>
      </c>
      <c r="B53" s="1" t="s">
        <v>43</v>
      </c>
      <c r="C53" s="8" t="s">
        <v>200</v>
      </c>
      <c r="D53" s="8"/>
      <c r="E53" s="8"/>
      <c r="F53" s="1"/>
      <c r="G53" s="9" t="s">
        <v>198</v>
      </c>
    </row>
    <row r="54" spans="1:7" x14ac:dyDescent="0.2">
      <c r="A54" s="1" t="s">
        <v>193</v>
      </c>
      <c r="B54" s="1" t="s">
        <v>43</v>
      </c>
      <c r="C54" s="8" t="s">
        <v>200</v>
      </c>
      <c r="D54" s="8"/>
      <c r="E54" s="8"/>
      <c r="F54" s="1"/>
      <c r="G54" s="9" t="s">
        <v>198</v>
      </c>
    </row>
    <row r="55" spans="1:7" x14ac:dyDescent="0.2">
      <c r="A55" s="1" t="s">
        <v>194</v>
      </c>
      <c r="B55" s="1" t="s">
        <v>43</v>
      </c>
      <c r="C55" s="8" t="s">
        <v>200</v>
      </c>
      <c r="D55" s="8"/>
      <c r="E55" s="8"/>
      <c r="F55" s="1"/>
      <c r="G55" s="9" t="s">
        <v>199</v>
      </c>
    </row>
    <row r="56" spans="1:7" x14ac:dyDescent="0.2">
      <c r="A56" s="1" t="s">
        <v>195</v>
      </c>
      <c r="B56" s="1" t="s">
        <v>43</v>
      </c>
      <c r="C56" s="8" t="s">
        <v>200</v>
      </c>
      <c r="D56" s="8"/>
      <c r="E56" s="8"/>
      <c r="F56" s="1"/>
      <c r="G56" s="9" t="s">
        <v>199</v>
      </c>
    </row>
    <row r="57" spans="1:7" x14ac:dyDescent="0.2">
      <c r="A57" s="1" t="s">
        <v>196</v>
      </c>
      <c r="B57" s="1" t="s">
        <v>43</v>
      </c>
      <c r="C57" s="8" t="s">
        <v>200</v>
      </c>
      <c r="D57" s="8"/>
      <c r="E57" s="8"/>
      <c r="F57" s="1"/>
      <c r="G57" s="9" t="s">
        <v>199</v>
      </c>
    </row>
    <row r="58" spans="1:7" x14ac:dyDescent="0.2">
      <c r="A58" s="1" t="s">
        <v>197</v>
      </c>
      <c r="B58" s="1" t="s">
        <v>43</v>
      </c>
      <c r="C58" s="8" t="s">
        <v>200</v>
      </c>
      <c r="D58" s="8"/>
      <c r="E58" s="8"/>
      <c r="F58" s="1"/>
      <c r="G58" s="9" t="s">
        <v>199</v>
      </c>
    </row>
  </sheetData>
  <mergeCells count="1">
    <mergeCell ref="C1:F1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D76BEF-91F6-A049-882D-7A7471C74D0E}">
  <dimension ref="A1:H24"/>
  <sheetViews>
    <sheetView tabSelected="1" workbookViewId="0">
      <selection activeCell="C11" sqref="C11"/>
    </sheetView>
  </sheetViews>
  <sheetFormatPr baseColWidth="10" defaultRowHeight="16" x14ac:dyDescent="0.2"/>
  <cols>
    <col min="1" max="1" width="20" customWidth="1"/>
    <col min="2" max="2" width="18.1640625" customWidth="1"/>
    <col min="5" max="5" width="10.83203125" style="28"/>
    <col min="6" max="6" width="53.1640625" bestFit="1" customWidth="1"/>
    <col min="7" max="7" width="24.5" customWidth="1"/>
    <col min="8" max="8" width="10.83203125" style="4"/>
  </cols>
  <sheetData>
    <row r="1" spans="1:7" x14ac:dyDescent="0.2">
      <c r="A1" s="3" t="s">
        <v>5</v>
      </c>
      <c r="B1" s="3" t="s">
        <v>4</v>
      </c>
      <c r="C1" s="7" t="s">
        <v>6</v>
      </c>
      <c r="D1" s="7" t="s">
        <v>7</v>
      </c>
      <c r="E1" s="26" t="s">
        <v>180</v>
      </c>
      <c r="F1" s="7" t="s">
        <v>113</v>
      </c>
      <c r="G1" s="47" t="s">
        <v>94</v>
      </c>
    </row>
    <row r="2" spans="1:7" x14ac:dyDescent="0.2">
      <c r="A2" s="1" t="s">
        <v>271</v>
      </c>
      <c r="B2" s="44" t="s">
        <v>0</v>
      </c>
      <c r="C2" s="45" t="s">
        <v>10</v>
      </c>
      <c r="D2" s="8" t="s">
        <v>261</v>
      </c>
      <c r="E2" s="46" t="s">
        <v>269</v>
      </c>
      <c r="F2" s="45" t="s">
        <v>270</v>
      </c>
      <c r="G2" s="48" t="s">
        <v>279</v>
      </c>
    </row>
    <row r="3" spans="1:7" x14ac:dyDescent="0.2">
      <c r="A3" s="1" t="s">
        <v>272</v>
      </c>
      <c r="B3" s="44" t="s">
        <v>1</v>
      </c>
      <c r="C3" s="45" t="s">
        <v>10</v>
      </c>
      <c r="D3" s="8" t="s">
        <v>262</v>
      </c>
      <c r="E3" s="46" t="s">
        <v>269</v>
      </c>
      <c r="F3" s="45" t="s">
        <v>270</v>
      </c>
      <c r="G3" s="48" t="s">
        <v>279</v>
      </c>
    </row>
    <row r="4" spans="1:7" x14ac:dyDescent="0.2">
      <c r="A4" s="1" t="s">
        <v>273</v>
      </c>
      <c r="B4" s="44" t="s">
        <v>2</v>
      </c>
      <c r="C4" s="45" t="s">
        <v>10</v>
      </c>
      <c r="D4" s="8" t="s">
        <v>263</v>
      </c>
      <c r="E4" s="46" t="s">
        <v>269</v>
      </c>
      <c r="F4" s="45" t="s">
        <v>270</v>
      </c>
      <c r="G4" s="48" t="s">
        <v>279</v>
      </c>
    </row>
    <row r="5" spans="1:7" x14ac:dyDescent="0.2">
      <c r="A5" s="1" t="s">
        <v>274</v>
      </c>
      <c r="B5" s="44" t="s">
        <v>3</v>
      </c>
      <c r="C5" s="45" t="s">
        <v>10</v>
      </c>
      <c r="D5" s="8" t="s">
        <v>264</v>
      </c>
      <c r="E5" s="46" t="s">
        <v>269</v>
      </c>
      <c r="F5" s="45" t="s">
        <v>270</v>
      </c>
      <c r="G5" s="48" t="s">
        <v>279</v>
      </c>
    </row>
    <row r="6" spans="1:7" x14ac:dyDescent="0.2">
      <c r="A6" s="1" t="s">
        <v>275</v>
      </c>
      <c r="B6" s="44" t="s">
        <v>0</v>
      </c>
      <c r="C6" s="45" t="s">
        <v>10</v>
      </c>
      <c r="D6" s="8" t="s">
        <v>265</v>
      </c>
      <c r="E6" s="46" t="s">
        <v>269</v>
      </c>
      <c r="F6" s="45" t="s">
        <v>270</v>
      </c>
      <c r="G6" s="48" t="s">
        <v>280</v>
      </c>
    </row>
    <row r="7" spans="1:7" x14ac:dyDescent="0.2">
      <c r="A7" s="1" t="s">
        <v>276</v>
      </c>
      <c r="B7" s="44" t="s">
        <v>1</v>
      </c>
      <c r="C7" s="45" t="s">
        <v>10</v>
      </c>
      <c r="D7" s="8" t="s">
        <v>266</v>
      </c>
      <c r="E7" s="46" t="s">
        <v>269</v>
      </c>
      <c r="F7" s="45" t="s">
        <v>270</v>
      </c>
      <c r="G7" s="48" t="s">
        <v>280</v>
      </c>
    </row>
    <row r="8" spans="1:7" x14ac:dyDescent="0.2">
      <c r="A8" s="1" t="s">
        <v>277</v>
      </c>
      <c r="B8" s="44" t="s">
        <v>2</v>
      </c>
      <c r="C8" s="45" t="s">
        <v>10</v>
      </c>
      <c r="D8" s="8" t="s">
        <v>267</v>
      </c>
      <c r="E8" s="46" t="s">
        <v>269</v>
      </c>
      <c r="F8" s="45" t="s">
        <v>270</v>
      </c>
      <c r="G8" s="48" t="s">
        <v>280</v>
      </c>
    </row>
    <row r="9" spans="1:7" x14ac:dyDescent="0.2">
      <c r="A9" s="1" t="s">
        <v>278</v>
      </c>
      <c r="B9" s="44" t="s">
        <v>3</v>
      </c>
      <c r="C9" s="45" t="s">
        <v>10</v>
      </c>
      <c r="D9" s="8" t="s">
        <v>268</v>
      </c>
      <c r="E9" s="46" t="s">
        <v>269</v>
      </c>
      <c r="F9" s="45" t="s">
        <v>270</v>
      </c>
      <c r="G9" s="48" t="s">
        <v>280</v>
      </c>
    </row>
    <row r="10" spans="1:7" x14ac:dyDescent="0.2">
      <c r="A10" s="1" t="s">
        <v>177</v>
      </c>
      <c r="B10" s="1" t="s">
        <v>68</v>
      </c>
      <c r="C10" s="8" t="s">
        <v>98</v>
      </c>
      <c r="D10" s="8" t="s">
        <v>126</v>
      </c>
      <c r="E10" s="27" t="s">
        <v>213</v>
      </c>
      <c r="F10" s="8" t="s">
        <v>185</v>
      </c>
      <c r="G10" s="1"/>
    </row>
    <row r="11" spans="1:7" x14ac:dyDescent="0.2">
      <c r="A11" s="1" t="s">
        <v>207</v>
      </c>
      <c r="B11" s="1" t="s">
        <v>69</v>
      </c>
      <c r="C11" s="8" t="s">
        <v>124</v>
      </c>
      <c r="D11" s="8" t="s">
        <v>186</v>
      </c>
      <c r="E11" s="27" t="s">
        <v>213</v>
      </c>
      <c r="F11" s="8" t="s">
        <v>185</v>
      </c>
      <c r="G11" s="1"/>
    </row>
    <row r="12" spans="1:7" x14ac:dyDescent="0.2">
      <c r="A12" s="1" t="s">
        <v>211</v>
      </c>
      <c r="B12" s="1" t="s">
        <v>64</v>
      </c>
      <c r="C12" s="8" t="s">
        <v>124</v>
      </c>
      <c r="D12" s="8" t="s">
        <v>187</v>
      </c>
      <c r="E12" s="27" t="s">
        <v>213</v>
      </c>
      <c r="F12" s="8" t="s">
        <v>185</v>
      </c>
      <c r="G12" s="1"/>
    </row>
    <row r="13" spans="1:7" x14ac:dyDescent="0.2">
      <c r="A13" s="1" t="s">
        <v>215</v>
      </c>
      <c r="B13" s="1" t="s">
        <v>65</v>
      </c>
      <c r="C13" s="8" t="s">
        <v>124</v>
      </c>
      <c r="D13" s="8" t="s">
        <v>281</v>
      </c>
      <c r="E13" s="31">
        <v>10</v>
      </c>
      <c r="F13" s="8" t="s">
        <v>185</v>
      </c>
      <c r="G13" s="1"/>
    </row>
    <row r="14" spans="1:7" x14ac:dyDescent="0.2">
      <c r="A14" s="1" t="s">
        <v>216</v>
      </c>
      <c r="B14" s="1" t="s">
        <v>66</v>
      </c>
      <c r="C14" s="8" t="s">
        <v>124</v>
      </c>
      <c r="D14" s="8" t="s">
        <v>189</v>
      </c>
      <c r="E14" s="31">
        <v>10</v>
      </c>
      <c r="F14" s="8" t="s">
        <v>185</v>
      </c>
      <c r="G14" s="1"/>
    </row>
    <row r="15" spans="1:7" x14ac:dyDescent="0.2">
      <c r="A15" s="1" t="s">
        <v>179</v>
      </c>
      <c r="B15" s="1" t="s">
        <v>68</v>
      </c>
      <c r="C15" s="8" t="s">
        <v>98</v>
      </c>
      <c r="D15" s="8" t="s">
        <v>126</v>
      </c>
      <c r="E15" s="27" t="s">
        <v>182</v>
      </c>
      <c r="F15" s="8" t="s">
        <v>183</v>
      </c>
      <c r="G15" s="1"/>
    </row>
    <row r="16" spans="1:7" x14ac:dyDescent="0.2">
      <c r="A16" s="1" t="s">
        <v>206</v>
      </c>
      <c r="B16" s="1" t="s">
        <v>69</v>
      </c>
      <c r="C16" s="8" t="s">
        <v>124</v>
      </c>
      <c r="D16" s="8" t="s">
        <v>186</v>
      </c>
      <c r="E16" s="31">
        <v>22</v>
      </c>
      <c r="F16" s="8" t="s">
        <v>183</v>
      </c>
      <c r="G16" s="1"/>
    </row>
    <row r="17" spans="1:7" x14ac:dyDescent="0.2">
      <c r="A17" s="1" t="s">
        <v>209</v>
      </c>
      <c r="B17" s="1" t="s">
        <v>64</v>
      </c>
      <c r="C17" s="8" t="s">
        <v>124</v>
      </c>
      <c r="D17" s="8" t="s">
        <v>187</v>
      </c>
      <c r="E17" s="31">
        <v>30</v>
      </c>
      <c r="F17" s="8" t="s">
        <v>183</v>
      </c>
      <c r="G17" s="1"/>
    </row>
    <row r="18" spans="1:7" x14ac:dyDescent="0.2">
      <c r="A18" s="1" t="s">
        <v>210</v>
      </c>
      <c r="B18" s="1" t="s">
        <v>65</v>
      </c>
      <c r="C18" s="8" t="s">
        <v>124</v>
      </c>
      <c r="D18" s="8" t="s">
        <v>281</v>
      </c>
      <c r="E18" s="31">
        <v>28</v>
      </c>
      <c r="F18" s="8" t="s">
        <v>183</v>
      </c>
      <c r="G18" s="1"/>
    </row>
    <row r="19" spans="1:7" x14ac:dyDescent="0.2">
      <c r="A19" s="1" t="s">
        <v>217</v>
      </c>
      <c r="B19" s="1" t="s">
        <v>66</v>
      </c>
      <c r="C19" s="8" t="s">
        <v>124</v>
      </c>
      <c r="D19" s="8" t="s">
        <v>189</v>
      </c>
      <c r="E19" s="31">
        <v>22</v>
      </c>
      <c r="F19" s="8" t="s">
        <v>183</v>
      </c>
      <c r="G19" s="1"/>
    </row>
    <row r="20" spans="1:7" x14ac:dyDescent="0.2">
      <c r="A20" s="1" t="s">
        <v>178</v>
      </c>
      <c r="B20" s="1" t="s">
        <v>68</v>
      </c>
      <c r="C20" s="8" t="s">
        <v>98</v>
      </c>
      <c r="D20" s="8" t="s">
        <v>126</v>
      </c>
      <c r="E20" s="27" t="s">
        <v>181</v>
      </c>
      <c r="F20" s="8" t="s">
        <v>184</v>
      </c>
      <c r="G20" s="1"/>
    </row>
    <row r="21" spans="1:7" x14ac:dyDescent="0.2">
      <c r="A21" s="1" t="s">
        <v>208</v>
      </c>
      <c r="B21" s="1" t="s">
        <v>69</v>
      </c>
      <c r="C21" s="8" t="s">
        <v>124</v>
      </c>
      <c r="D21" s="8" t="s">
        <v>186</v>
      </c>
      <c r="E21" s="31">
        <v>20</v>
      </c>
      <c r="F21" s="8" t="s">
        <v>184</v>
      </c>
      <c r="G21" s="1"/>
    </row>
    <row r="22" spans="1:7" x14ac:dyDescent="0.2">
      <c r="A22" s="1" t="s">
        <v>212</v>
      </c>
      <c r="B22" s="1" t="s">
        <v>64</v>
      </c>
      <c r="C22" s="8" t="s">
        <v>124</v>
      </c>
      <c r="D22" s="8" t="s">
        <v>187</v>
      </c>
      <c r="E22" s="31">
        <v>20</v>
      </c>
      <c r="F22" s="8" t="s">
        <v>184</v>
      </c>
      <c r="G22" s="1"/>
    </row>
    <row r="23" spans="1:7" x14ac:dyDescent="0.2">
      <c r="A23" s="1" t="s">
        <v>214</v>
      </c>
      <c r="B23" s="1" t="s">
        <v>65</v>
      </c>
      <c r="C23" s="8" t="s">
        <v>124</v>
      </c>
      <c r="D23" s="8" t="s">
        <v>281</v>
      </c>
      <c r="E23" s="31">
        <v>18</v>
      </c>
      <c r="F23" s="8" t="s">
        <v>184</v>
      </c>
      <c r="G23" s="1"/>
    </row>
    <row r="24" spans="1:7" x14ac:dyDescent="0.2">
      <c r="A24" s="1" t="s">
        <v>218</v>
      </c>
      <c r="B24" s="1" t="s">
        <v>66</v>
      </c>
      <c r="C24" s="8" t="s">
        <v>124</v>
      </c>
      <c r="D24" s="8" t="s">
        <v>189</v>
      </c>
      <c r="E24" s="31">
        <v>16</v>
      </c>
      <c r="F24" s="8" t="s">
        <v>184</v>
      </c>
      <c r="G24" s="1"/>
    </row>
  </sheetData>
  <sortState xmlns:xlrd2="http://schemas.microsoft.com/office/spreadsheetml/2017/richdata2" ref="A10:F24">
    <sortCondition ref="A10:A24"/>
  </sortState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EDA3BA-39A4-9F4E-8889-B1F828AC7910}">
  <dimension ref="A1:E3"/>
  <sheetViews>
    <sheetView workbookViewId="0">
      <selection activeCell="H18" sqref="H18"/>
    </sheetView>
  </sheetViews>
  <sheetFormatPr baseColWidth="10" defaultRowHeight="16" x14ac:dyDescent="0.2"/>
  <cols>
    <col min="1" max="1" width="18.5" style="10" customWidth="1"/>
    <col min="2" max="2" width="12.83203125" style="10" customWidth="1"/>
    <col min="3" max="3" width="12.5" style="10" customWidth="1"/>
    <col min="4" max="4" width="24.6640625" style="10" customWidth="1"/>
    <col min="5" max="5" width="21" style="10" customWidth="1"/>
    <col min="6" max="16384" width="10.83203125" style="10"/>
  </cols>
  <sheetData>
    <row r="1" spans="1:5" s="16" customFormat="1" ht="34" x14ac:dyDescent="0.2">
      <c r="A1" s="19" t="s">
        <v>60</v>
      </c>
      <c r="B1" s="19" t="s">
        <v>86</v>
      </c>
      <c r="C1" s="19" t="s">
        <v>87</v>
      </c>
      <c r="D1" s="19" t="s">
        <v>88</v>
      </c>
      <c r="E1" s="19" t="s">
        <v>89</v>
      </c>
    </row>
    <row r="2" spans="1:5" ht="17" x14ac:dyDescent="0.2">
      <c r="A2" s="14" t="s">
        <v>84</v>
      </c>
      <c r="B2" s="14"/>
      <c r="C2" s="14"/>
      <c r="D2" s="14"/>
      <c r="E2" s="14"/>
    </row>
    <row r="3" spans="1:5" ht="34" x14ac:dyDescent="0.2">
      <c r="A3" s="14" t="s">
        <v>85</v>
      </c>
      <c r="B3" s="32">
        <v>45441</v>
      </c>
      <c r="C3" s="33">
        <v>0.6875</v>
      </c>
      <c r="D3" s="14" t="s">
        <v>90</v>
      </c>
      <c r="E3" s="14">
        <v>225</v>
      </c>
    </row>
  </sheetData>
  <phoneticPr fontId="1" type="noConversion"/>
  <pageMargins left="0.7" right="0.7" top="0.75" bottom="0.75" header="0.3" footer="0.3"/>
  <pageSetup orientation="portrait" horizontalDpi="0" verticalDpi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D1E580-F8BE-154E-B378-5A8A1C3B5E35}">
  <dimension ref="A1:F4"/>
  <sheetViews>
    <sheetView workbookViewId="0">
      <selection activeCell="E24" sqref="E24"/>
    </sheetView>
  </sheetViews>
  <sheetFormatPr baseColWidth="10" defaultRowHeight="16" x14ac:dyDescent="0.2"/>
  <cols>
    <col min="1" max="1" width="19.6640625" style="10" customWidth="1"/>
    <col min="2" max="2" width="18.5" style="10" customWidth="1"/>
    <col min="3" max="3" width="12.83203125" style="17" customWidth="1"/>
    <col min="4" max="4" width="12.5" style="17" customWidth="1"/>
    <col min="5" max="5" width="24.6640625" style="10" customWidth="1"/>
    <col min="6" max="6" width="21" style="10" customWidth="1"/>
  </cols>
  <sheetData>
    <row r="1" spans="1:6" ht="17" x14ac:dyDescent="0.2">
      <c r="A1" s="18" t="s">
        <v>91</v>
      </c>
      <c r="B1" s="18" t="s">
        <v>60</v>
      </c>
      <c r="C1" s="20" t="s">
        <v>6</v>
      </c>
      <c r="D1" s="20" t="s">
        <v>7</v>
      </c>
      <c r="E1" s="18" t="s">
        <v>94</v>
      </c>
      <c r="F1" s="16"/>
    </row>
    <row r="2" spans="1:6" ht="17" x14ac:dyDescent="0.2">
      <c r="A2" s="11"/>
      <c r="B2" s="11" t="s">
        <v>84</v>
      </c>
      <c r="C2" s="13"/>
      <c r="D2" s="13"/>
      <c r="E2" s="11"/>
    </row>
    <row r="3" spans="1:6" ht="34" x14ac:dyDescent="0.2">
      <c r="A3" s="11" t="s">
        <v>92</v>
      </c>
      <c r="B3" s="11" t="s">
        <v>85</v>
      </c>
      <c r="C3" s="13" t="s">
        <v>98</v>
      </c>
      <c r="D3" s="13" t="s">
        <v>97</v>
      </c>
      <c r="E3" s="11" t="s">
        <v>95</v>
      </c>
    </row>
    <row r="4" spans="1:6" ht="34" x14ac:dyDescent="0.2">
      <c r="A4" s="11" t="s">
        <v>93</v>
      </c>
      <c r="B4" s="11" t="s">
        <v>85</v>
      </c>
      <c r="C4" s="13" t="s">
        <v>124</v>
      </c>
      <c r="D4" s="13" t="s">
        <v>125</v>
      </c>
      <c r="E4" s="11" t="s">
        <v>96</v>
      </c>
    </row>
  </sheetData>
  <phoneticPr fontId="1" type="noConversion"/>
  <pageMargins left="0.7" right="0.7" top="0.75" bottom="0.75" header="0.3" footer="0.3"/>
  <pageSetup orientation="portrait" horizontalDpi="0" verticalDpi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C0AD02-15F4-A244-B01A-5B65FB319225}">
  <sheetPr>
    <pageSetUpPr fitToPage="1"/>
  </sheetPr>
  <dimension ref="A1:F27"/>
  <sheetViews>
    <sheetView topLeftCell="A9" zoomScale="101" workbookViewId="0">
      <selection activeCell="K18" sqref="K18"/>
    </sheetView>
  </sheetViews>
  <sheetFormatPr baseColWidth="10" defaultRowHeight="16" x14ac:dyDescent="0.2"/>
  <cols>
    <col min="1" max="1" width="12.33203125" style="23" customWidth="1"/>
    <col min="2" max="2" width="10.5" style="23" customWidth="1"/>
    <col min="3" max="3" width="13.33203125" style="23" customWidth="1"/>
    <col min="4" max="4" width="10.1640625" style="23" customWidth="1"/>
    <col min="5" max="5" width="13.6640625" style="23" customWidth="1"/>
    <col min="6" max="6" width="20" style="23" customWidth="1"/>
    <col min="7" max="16384" width="10.83203125" style="23"/>
  </cols>
  <sheetData>
    <row r="1" spans="1:6" ht="31" customHeight="1" x14ac:dyDescent="0.2">
      <c r="B1" s="42" t="s">
        <v>114</v>
      </c>
      <c r="C1" s="43"/>
      <c r="D1" s="38"/>
      <c r="E1" s="39"/>
    </row>
    <row r="2" spans="1:6" ht="31" customHeight="1" x14ac:dyDescent="0.2">
      <c r="B2" s="24" t="s">
        <v>120</v>
      </c>
      <c r="C2" s="22"/>
      <c r="D2" s="24" t="s">
        <v>123</v>
      </c>
      <c r="E2" s="22"/>
    </row>
    <row r="3" spans="1:6" ht="9" customHeight="1" x14ac:dyDescent="0.2"/>
    <row r="4" spans="1:6" ht="26" customHeight="1" x14ac:dyDescent="0.2">
      <c r="B4" s="40" t="s">
        <v>115</v>
      </c>
      <c r="C4" s="41"/>
      <c r="D4" s="25" t="s">
        <v>112</v>
      </c>
      <c r="E4" s="25" t="s">
        <v>113</v>
      </c>
      <c r="F4" s="25" t="s">
        <v>94</v>
      </c>
    </row>
    <row r="5" spans="1:6" ht="41" customHeight="1" x14ac:dyDescent="0.2">
      <c r="A5" s="24" t="s">
        <v>109</v>
      </c>
      <c r="B5" s="38"/>
      <c r="C5" s="39"/>
      <c r="D5" s="22"/>
      <c r="E5" s="22"/>
      <c r="F5" s="22"/>
    </row>
    <row r="6" spans="1:6" ht="41" customHeight="1" x14ac:dyDescent="0.2">
      <c r="A6" s="24" t="s">
        <v>110</v>
      </c>
      <c r="B6" s="38"/>
      <c r="C6" s="39"/>
      <c r="D6" s="22"/>
      <c r="E6" s="22"/>
      <c r="F6" s="22"/>
    </row>
    <row r="7" spans="1:6" ht="41" customHeight="1" x14ac:dyDescent="0.2">
      <c r="A7" s="24" t="s">
        <v>111</v>
      </c>
      <c r="B7" s="38"/>
      <c r="C7" s="39"/>
      <c r="D7" s="22"/>
      <c r="E7" s="22"/>
      <c r="F7" s="22"/>
    </row>
    <row r="8" spans="1:6" ht="9" customHeight="1" x14ac:dyDescent="0.2"/>
    <row r="9" spans="1:6" ht="26" customHeight="1" x14ac:dyDescent="0.2">
      <c r="B9" s="40" t="s">
        <v>121</v>
      </c>
      <c r="C9" s="41"/>
      <c r="D9" s="40" t="s">
        <v>122</v>
      </c>
      <c r="E9" s="41"/>
      <c r="F9" s="25" t="s">
        <v>94</v>
      </c>
    </row>
    <row r="10" spans="1:6" ht="41" customHeight="1" x14ac:dyDescent="0.2">
      <c r="A10" s="24" t="s">
        <v>116</v>
      </c>
      <c r="B10" s="38"/>
      <c r="C10" s="39"/>
      <c r="D10" s="38"/>
      <c r="E10" s="39"/>
      <c r="F10" s="22"/>
    </row>
    <row r="11" spans="1:6" ht="41" customHeight="1" x14ac:dyDescent="0.2">
      <c r="A11" s="24" t="s">
        <v>117</v>
      </c>
      <c r="B11" s="38"/>
      <c r="C11" s="39"/>
      <c r="D11" s="38"/>
      <c r="E11" s="39"/>
      <c r="F11" s="22"/>
    </row>
    <row r="12" spans="1:6" ht="41" customHeight="1" x14ac:dyDescent="0.2">
      <c r="A12" s="24" t="s">
        <v>118</v>
      </c>
      <c r="B12" s="38"/>
      <c r="C12" s="39"/>
      <c r="D12" s="38"/>
      <c r="E12" s="39"/>
      <c r="F12" s="22"/>
    </row>
    <row r="13" spans="1:6" ht="41" customHeight="1" x14ac:dyDescent="0.2">
      <c r="A13" s="24" t="s">
        <v>119</v>
      </c>
      <c r="B13" s="38"/>
      <c r="C13" s="39"/>
      <c r="D13" s="38"/>
      <c r="E13" s="39"/>
      <c r="F13" s="22"/>
    </row>
    <row r="15" spans="1:6" ht="31" customHeight="1" x14ac:dyDescent="0.2">
      <c r="B15" s="42" t="s">
        <v>114</v>
      </c>
      <c r="C15" s="43"/>
      <c r="D15" s="38"/>
      <c r="E15" s="39"/>
    </row>
    <row r="16" spans="1:6" ht="31" customHeight="1" x14ac:dyDescent="0.2">
      <c r="B16" s="24" t="s">
        <v>120</v>
      </c>
      <c r="C16" s="22"/>
      <c r="D16" s="24" t="s">
        <v>123</v>
      </c>
      <c r="E16" s="22"/>
    </row>
    <row r="17" spans="1:6" ht="9" customHeight="1" x14ac:dyDescent="0.2"/>
    <row r="18" spans="1:6" ht="26" customHeight="1" x14ac:dyDescent="0.2">
      <c r="B18" s="40" t="s">
        <v>115</v>
      </c>
      <c r="C18" s="41"/>
      <c r="D18" s="25" t="s">
        <v>112</v>
      </c>
      <c r="E18" s="25" t="s">
        <v>113</v>
      </c>
      <c r="F18" s="25" t="s">
        <v>94</v>
      </c>
    </row>
    <row r="19" spans="1:6" ht="41" customHeight="1" x14ac:dyDescent="0.2">
      <c r="A19" s="24" t="s">
        <v>109</v>
      </c>
      <c r="B19" s="38"/>
      <c r="C19" s="39"/>
      <c r="D19" s="22"/>
      <c r="E19" s="22"/>
      <c r="F19" s="22"/>
    </row>
    <row r="20" spans="1:6" ht="41" customHeight="1" x14ac:dyDescent="0.2">
      <c r="A20" s="24" t="s">
        <v>110</v>
      </c>
      <c r="B20" s="38"/>
      <c r="C20" s="39"/>
      <c r="D20" s="22"/>
      <c r="E20" s="22"/>
      <c r="F20" s="22"/>
    </row>
    <row r="21" spans="1:6" ht="41" customHeight="1" x14ac:dyDescent="0.2">
      <c r="A21" s="24" t="s">
        <v>111</v>
      </c>
      <c r="B21" s="38"/>
      <c r="C21" s="39"/>
      <c r="D21" s="22"/>
      <c r="E21" s="22"/>
      <c r="F21" s="22"/>
    </row>
    <row r="22" spans="1:6" ht="9" customHeight="1" x14ac:dyDescent="0.2"/>
    <row r="23" spans="1:6" ht="26" customHeight="1" x14ac:dyDescent="0.2">
      <c r="B23" s="40" t="s">
        <v>121</v>
      </c>
      <c r="C23" s="41"/>
      <c r="D23" s="40" t="s">
        <v>122</v>
      </c>
      <c r="E23" s="41"/>
      <c r="F23" s="25" t="s">
        <v>94</v>
      </c>
    </row>
    <row r="24" spans="1:6" ht="41" customHeight="1" x14ac:dyDescent="0.2">
      <c r="A24" s="24" t="s">
        <v>116</v>
      </c>
      <c r="B24" s="38"/>
      <c r="C24" s="39"/>
      <c r="D24" s="38"/>
      <c r="E24" s="39"/>
      <c r="F24" s="22"/>
    </row>
    <row r="25" spans="1:6" ht="41" customHeight="1" x14ac:dyDescent="0.2">
      <c r="A25" s="24" t="s">
        <v>117</v>
      </c>
      <c r="B25" s="38"/>
      <c r="C25" s="39"/>
      <c r="D25" s="38"/>
      <c r="E25" s="39"/>
      <c r="F25" s="22"/>
    </row>
    <row r="26" spans="1:6" ht="41" customHeight="1" x14ac:dyDescent="0.2">
      <c r="A26" s="24" t="s">
        <v>118</v>
      </c>
      <c r="B26" s="38"/>
      <c r="C26" s="39"/>
      <c r="D26" s="38"/>
      <c r="E26" s="39"/>
      <c r="F26" s="22"/>
    </row>
    <row r="27" spans="1:6" ht="41" customHeight="1" x14ac:dyDescent="0.2">
      <c r="A27" s="24" t="s">
        <v>119</v>
      </c>
      <c r="B27" s="38"/>
      <c r="C27" s="39"/>
      <c r="D27" s="38"/>
      <c r="E27" s="39"/>
      <c r="F27" s="22"/>
    </row>
  </sheetData>
  <mergeCells count="32">
    <mergeCell ref="D1:E1"/>
    <mergeCell ref="B7:C7"/>
    <mergeCell ref="B6:C6"/>
    <mergeCell ref="B5:C5"/>
    <mergeCell ref="B4:C4"/>
    <mergeCell ref="B1:C1"/>
    <mergeCell ref="B21:C21"/>
    <mergeCell ref="D9:E9"/>
    <mergeCell ref="D10:E10"/>
    <mergeCell ref="D11:E11"/>
    <mergeCell ref="D12:E12"/>
    <mergeCell ref="D13:E13"/>
    <mergeCell ref="B10:C10"/>
    <mergeCell ref="B11:C11"/>
    <mergeCell ref="B12:C12"/>
    <mergeCell ref="B13:C13"/>
    <mergeCell ref="B9:C9"/>
    <mergeCell ref="B15:C15"/>
    <mergeCell ref="D15:E15"/>
    <mergeCell ref="B18:C18"/>
    <mergeCell ref="B19:C19"/>
    <mergeCell ref="B20:C20"/>
    <mergeCell ref="B26:C26"/>
    <mergeCell ref="D26:E26"/>
    <mergeCell ref="B27:C27"/>
    <mergeCell ref="D27:E27"/>
    <mergeCell ref="B23:C23"/>
    <mergeCell ref="D23:E23"/>
    <mergeCell ref="B24:C24"/>
    <mergeCell ref="D24:E24"/>
    <mergeCell ref="B25:C25"/>
    <mergeCell ref="D25:E25"/>
  </mergeCells>
  <pageMargins left="0.7" right="0.7" top="0.75" bottom="0.75" header="0.3" footer="0.3"/>
  <pageSetup scale="86" orientation="portrait" horizontalDpi="0" verticalDpi="0" copies="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6F0F90-61B4-E445-ADC8-7125D17DF40B}">
  <dimension ref="A1:D57"/>
  <sheetViews>
    <sheetView workbookViewId="0">
      <selection activeCell="H19" sqref="H19"/>
    </sheetView>
  </sheetViews>
  <sheetFormatPr baseColWidth="10" defaultRowHeight="16" x14ac:dyDescent="0.2"/>
  <cols>
    <col min="1" max="2" width="15.83203125" customWidth="1"/>
    <col min="3" max="3" width="21.5" customWidth="1"/>
    <col min="4" max="4" width="54.5" bestFit="1" customWidth="1"/>
  </cols>
  <sheetData>
    <row r="1" spans="1:4" s="30" customFormat="1" ht="19" x14ac:dyDescent="0.25">
      <c r="A1" s="29" t="s">
        <v>5</v>
      </c>
      <c r="B1" s="29" t="s">
        <v>203</v>
      </c>
      <c r="C1" s="29" t="s">
        <v>202</v>
      </c>
      <c r="D1" s="29" t="s">
        <v>201</v>
      </c>
    </row>
    <row r="2" spans="1:4" x14ac:dyDescent="0.2">
      <c r="A2" s="1" t="s">
        <v>128</v>
      </c>
      <c r="B2" s="1" t="str">
        <f>VLOOKUP(A2,containerInfo_BONCAT!$A$3:$B$60,2,FALSE)</f>
        <v>PCaMM_inc_008</v>
      </c>
      <c r="C2" s="1" t="str">
        <f>_xlfn.CONCAT(VLOOKUP(A2,containerInfo_BONCAT!$A$3:$T$60,5,FALSE),"cm, ",VLOOKUP(A2,containerInfo_BONCAT!$A$3:$T$60,6,FALSE), " side")</f>
        <v>1-3cm, Right side</v>
      </c>
      <c r="D2" s="1" t="str">
        <f>VLOOKUP(B2,incubationInfo!$A$3:$G$12,7,FALSE)</f>
        <v>10µM HPG+ and Hg(II)+, 12 hr</v>
      </c>
    </row>
    <row r="3" spans="1:4" x14ac:dyDescent="0.2">
      <c r="A3" s="1" t="s">
        <v>129</v>
      </c>
      <c r="B3" s="1" t="str">
        <f>VLOOKUP(A3,containerInfo_BONCAT!$A$3:$B$60,2,FALSE)</f>
        <v>PCaMM_inc_008</v>
      </c>
      <c r="C3" s="1" t="str">
        <f>_xlfn.CONCAT(VLOOKUP(A3,containerInfo_BONCAT!$A$3:$T$60,5,FALSE),"cm, ",VLOOKUP(A3,containerInfo_BONCAT!$A$3:$T$60,6,FALSE), " side")</f>
        <v>1-3cm, Right side</v>
      </c>
      <c r="D3" s="1" t="str">
        <f>VLOOKUP(B3,incubationInfo!$A$3:$G$12,7,FALSE)</f>
        <v>10µM HPG+ and Hg(II)+, 12 hr</v>
      </c>
    </row>
    <row r="4" spans="1:4" x14ac:dyDescent="0.2">
      <c r="A4" s="1" t="s">
        <v>130</v>
      </c>
      <c r="B4" s="1" t="str">
        <f>VLOOKUP(A4,containerInfo_BONCAT!$A$3:$B$60,2,FALSE)</f>
        <v>PCaMM_inc_008</v>
      </c>
      <c r="C4" s="1" t="str">
        <f>_xlfn.CONCAT(VLOOKUP(A4,containerInfo_BONCAT!$A$3:$T$60,5,FALSE),"cm, ",VLOOKUP(A4,containerInfo_BONCAT!$A$3:$T$60,6,FALSE), " side")</f>
        <v>1-3cm, Left side</v>
      </c>
      <c r="D4" s="1" t="str">
        <f>VLOOKUP(B4,incubationInfo!$A$3:$G$12,7,FALSE)</f>
        <v>10µM HPG+ and Hg(II)+, 12 hr</v>
      </c>
    </row>
    <row r="5" spans="1:4" x14ac:dyDescent="0.2">
      <c r="A5" s="1" t="s">
        <v>131</v>
      </c>
      <c r="B5" s="1" t="str">
        <f>VLOOKUP(A5,containerInfo_BONCAT!$A$3:$B$60,2,FALSE)</f>
        <v>PCaMM_inc_008</v>
      </c>
      <c r="C5" s="1" t="str">
        <f>_xlfn.CONCAT(VLOOKUP(A5,containerInfo_BONCAT!$A$3:$T$60,5,FALSE),"cm, ",VLOOKUP(A5,containerInfo_BONCAT!$A$3:$T$60,6,FALSE), " side")</f>
        <v>1-3cm, Left side</v>
      </c>
      <c r="D5" s="1" t="str">
        <f>VLOOKUP(B5,incubationInfo!$A$3:$G$12,7,FALSE)</f>
        <v>10µM HPG+ and Hg(II)+, 12 hr</v>
      </c>
    </row>
    <row r="6" spans="1:4" x14ac:dyDescent="0.2">
      <c r="A6" s="1" t="s">
        <v>132</v>
      </c>
      <c r="B6" s="1" t="str">
        <f>VLOOKUP(A6,containerInfo_BONCAT!$A$3:$B$60,2,FALSE)</f>
        <v>PCaMM_inc_008</v>
      </c>
      <c r="C6" s="1" t="str">
        <f>_xlfn.CONCAT(VLOOKUP(A6,containerInfo_BONCAT!$A$3:$T$60,5,FALSE),"cm, ",VLOOKUP(A6,containerInfo_BONCAT!$A$3:$T$60,6,FALSE), " side")</f>
        <v>3-5cm, Right side</v>
      </c>
      <c r="D6" s="1" t="str">
        <f>VLOOKUP(B6,incubationInfo!$A$3:$G$12,7,FALSE)</f>
        <v>10µM HPG+ and Hg(II)+, 12 hr</v>
      </c>
    </row>
    <row r="7" spans="1:4" x14ac:dyDescent="0.2">
      <c r="A7" s="1" t="s">
        <v>133</v>
      </c>
      <c r="B7" s="1" t="str">
        <f>VLOOKUP(A7,containerInfo_BONCAT!$A$3:$B$60,2,FALSE)</f>
        <v>PCaMM_inc_008</v>
      </c>
      <c r="C7" s="1" t="str">
        <f>_xlfn.CONCAT(VLOOKUP(A7,containerInfo_BONCAT!$A$3:$T$60,5,FALSE),"cm, ",VLOOKUP(A7,containerInfo_BONCAT!$A$3:$T$60,6,FALSE), " side")</f>
        <v>3-5cm, Right side</v>
      </c>
      <c r="D7" s="1" t="str">
        <f>VLOOKUP(B7,incubationInfo!$A$3:$G$12,7,FALSE)</f>
        <v>10µM HPG+ and Hg(II)+, 12 hr</v>
      </c>
    </row>
    <row r="8" spans="1:4" x14ac:dyDescent="0.2">
      <c r="A8" s="1" t="s">
        <v>134</v>
      </c>
      <c r="B8" s="1" t="str">
        <f>VLOOKUP(A8,containerInfo_BONCAT!$A$3:$B$60,2,FALSE)</f>
        <v>PCaMM_inc_008</v>
      </c>
      <c r="C8" s="1" t="str">
        <f>_xlfn.CONCAT(VLOOKUP(A8,containerInfo_BONCAT!$A$3:$T$60,5,FALSE),"cm, ",VLOOKUP(A8,containerInfo_BONCAT!$A$3:$T$60,6,FALSE), " side")</f>
        <v>3-5cm, Left side</v>
      </c>
      <c r="D8" s="1" t="str">
        <f>VLOOKUP(B8,incubationInfo!$A$3:$G$12,7,FALSE)</f>
        <v>10µM HPG+ and Hg(II)+, 12 hr</v>
      </c>
    </row>
    <row r="9" spans="1:4" x14ac:dyDescent="0.2">
      <c r="A9" s="1" t="s">
        <v>135</v>
      </c>
      <c r="B9" s="1" t="str">
        <f>VLOOKUP(A9,containerInfo_BONCAT!$A$3:$B$60,2,FALSE)</f>
        <v>PCaMM_inc_008</v>
      </c>
      <c r="C9" s="1" t="str">
        <f>_xlfn.CONCAT(VLOOKUP(A9,containerInfo_BONCAT!$A$3:$T$60,5,FALSE),"cm, ",VLOOKUP(A9,containerInfo_BONCAT!$A$3:$T$60,6,FALSE), " side")</f>
        <v>3-5cm, Left side</v>
      </c>
      <c r="D9" s="1" t="str">
        <f>VLOOKUP(B9,incubationInfo!$A$3:$G$12,7,FALSE)</f>
        <v>10µM HPG+ and Hg(II)+, 12 hr</v>
      </c>
    </row>
    <row r="10" spans="1:4" x14ac:dyDescent="0.2">
      <c r="A10" s="1" t="s">
        <v>136</v>
      </c>
      <c r="B10" s="1" t="str">
        <f>VLOOKUP(A10,containerInfo_BONCAT!$A$3:$B$60,2,FALSE)</f>
        <v>PCaMM_inc_009</v>
      </c>
      <c r="C10" s="1" t="str">
        <f>_xlfn.CONCAT(VLOOKUP(A10,containerInfo_BONCAT!$A$3:$T$60,5,FALSE),"cm, ",VLOOKUP(A10,containerInfo_BONCAT!$A$3:$T$60,6,FALSE), " side")</f>
        <v>1-3cm, Right side</v>
      </c>
      <c r="D10" s="1" t="str">
        <f>VLOOKUP(B10,incubationInfo!$A$3:$G$12,7,FALSE)</f>
        <v>50µM HPG+ and Hg(II)+, 12 hr</v>
      </c>
    </row>
    <row r="11" spans="1:4" x14ac:dyDescent="0.2">
      <c r="A11" s="1" t="s">
        <v>137</v>
      </c>
      <c r="B11" s="1" t="str">
        <f>VLOOKUP(A11,containerInfo_BONCAT!$A$3:$B$60,2,FALSE)</f>
        <v>PCaMM_inc_009</v>
      </c>
      <c r="C11" s="1" t="str">
        <f>_xlfn.CONCAT(VLOOKUP(A11,containerInfo_BONCAT!$A$3:$T$60,5,FALSE),"cm, ",VLOOKUP(A11,containerInfo_BONCAT!$A$3:$T$60,6,FALSE), " side")</f>
        <v>1-3cm, Right side</v>
      </c>
      <c r="D11" s="1" t="str">
        <f>VLOOKUP(B11,incubationInfo!$A$3:$G$12,7,FALSE)</f>
        <v>50µM HPG+ and Hg(II)+, 12 hr</v>
      </c>
    </row>
    <row r="12" spans="1:4" x14ac:dyDescent="0.2">
      <c r="A12" s="1" t="s">
        <v>138</v>
      </c>
      <c r="B12" s="1" t="str">
        <f>VLOOKUP(A12,containerInfo_BONCAT!$A$3:$B$60,2,FALSE)</f>
        <v>PCaMM_inc_009</v>
      </c>
      <c r="C12" s="1" t="str">
        <f>_xlfn.CONCAT(VLOOKUP(A12,containerInfo_BONCAT!$A$3:$T$60,5,FALSE),"cm, ",VLOOKUP(A12,containerInfo_BONCAT!$A$3:$T$60,6,FALSE), " side")</f>
        <v>1-3cm, Left side</v>
      </c>
      <c r="D12" s="1" t="str">
        <f>VLOOKUP(B12,incubationInfo!$A$3:$G$12,7,FALSE)</f>
        <v>50µM HPG+ and Hg(II)+, 12 hr</v>
      </c>
    </row>
    <row r="13" spans="1:4" x14ac:dyDescent="0.2">
      <c r="A13" s="1" t="s">
        <v>139</v>
      </c>
      <c r="B13" s="1" t="str">
        <f>VLOOKUP(A13,containerInfo_BONCAT!$A$3:$B$60,2,FALSE)</f>
        <v>PCaMM_inc_009</v>
      </c>
      <c r="C13" s="1" t="str">
        <f>_xlfn.CONCAT(VLOOKUP(A13,containerInfo_BONCAT!$A$3:$T$60,5,FALSE),"cm, ",VLOOKUP(A13,containerInfo_BONCAT!$A$3:$T$60,6,FALSE), " side")</f>
        <v>1-3cm, Left side</v>
      </c>
      <c r="D13" s="1" t="str">
        <f>VLOOKUP(B13,incubationInfo!$A$3:$G$12,7,FALSE)</f>
        <v>50µM HPG+ and Hg(II)+, 12 hr</v>
      </c>
    </row>
    <row r="14" spans="1:4" x14ac:dyDescent="0.2">
      <c r="A14" s="1" t="s">
        <v>140</v>
      </c>
      <c r="B14" s="1" t="str">
        <f>VLOOKUP(A14,containerInfo_BONCAT!$A$3:$B$60,2,FALSE)</f>
        <v>PCaMM_inc_009</v>
      </c>
      <c r="C14" s="1" t="str">
        <f>_xlfn.CONCAT(VLOOKUP(A14,containerInfo_BONCAT!$A$3:$T$60,5,FALSE),"cm, ",VLOOKUP(A14,containerInfo_BONCAT!$A$3:$T$60,6,FALSE), " side")</f>
        <v>3-5cm, Right side</v>
      </c>
      <c r="D14" s="1" t="str">
        <f>VLOOKUP(B14,incubationInfo!$A$3:$G$12,7,FALSE)</f>
        <v>50µM HPG+ and Hg(II)+, 12 hr</v>
      </c>
    </row>
    <row r="15" spans="1:4" x14ac:dyDescent="0.2">
      <c r="A15" s="1" t="s">
        <v>141</v>
      </c>
      <c r="B15" s="1" t="str">
        <f>VLOOKUP(A15,containerInfo_BONCAT!$A$3:$B$60,2,FALSE)</f>
        <v>PCaMM_inc_009</v>
      </c>
      <c r="C15" s="1" t="str">
        <f>_xlfn.CONCAT(VLOOKUP(A15,containerInfo_BONCAT!$A$3:$T$60,5,FALSE),"cm, ",VLOOKUP(A15,containerInfo_BONCAT!$A$3:$T$60,6,FALSE), " side")</f>
        <v>3-5cm, Right side</v>
      </c>
      <c r="D15" s="1" t="str">
        <f>VLOOKUP(B15,incubationInfo!$A$3:$G$12,7,FALSE)</f>
        <v>50µM HPG+ and Hg(II)+, 12 hr</v>
      </c>
    </row>
    <row r="16" spans="1:4" x14ac:dyDescent="0.2">
      <c r="A16" s="1" t="s">
        <v>142</v>
      </c>
      <c r="B16" s="1" t="str">
        <f>VLOOKUP(A16,containerInfo_BONCAT!$A$3:$B$60,2,FALSE)</f>
        <v>PCaMM_inc_009</v>
      </c>
      <c r="C16" s="1" t="str">
        <f>_xlfn.CONCAT(VLOOKUP(A16,containerInfo_BONCAT!$A$3:$T$60,5,FALSE),"cm, ",VLOOKUP(A16,containerInfo_BONCAT!$A$3:$T$60,6,FALSE), " side")</f>
        <v>3-5cm, Left side</v>
      </c>
      <c r="D16" s="1" t="str">
        <f>VLOOKUP(B16,incubationInfo!$A$3:$G$12,7,FALSE)</f>
        <v>50µM HPG+ and Hg(II)+, 12 hr</v>
      </c>
    </row>
    <row r="17" spans="1:4" x14ac:dyDescent="0.2">
      <c r="A17" s="1" t="s">
        <v>143</v>
      </c>
      <c r="B17" s="1" t="str">
        <f>VLOOKUP(A17,containerInfo_BONCAT!$A$3:$B$60,2,FALSE)</f>
        <v>PCaMM_inc_009</v>
      </c>
      <c r="C17" s="1" t="str">
        <f>_xlfn.CONCAT(VLOOKUP(A17,containerInfo_BONCAT!$A$3:$T$60,5,FALSE),"cm, ",VLOOKUP(A17,containerInfo_BONCAT!$A$3:$T$60,6,FALSE), " side")</f>
        <v>3-5cm, Left side</v>
      </c>
      <c r="D17" s="1" t="str">
        <f>VLOOKUP(B17,incubationInfo!$A$3:$G$12,7,FALSE)</f>
        <v>50µM HPG+ and Hg(II)+, 12 hr</v>
      </c>
    </row>
    <row r="18" spans="1:4" x14ac:dyDescent="0.2">
      <c r="A18" s="1" t="s">
        <v>144</v>
      </c>
      <c r="B18" s="1" t="str">
        <f>VLOOKUP(A18,containerInfo_BONCAT!$A$3:$B$60,2,FALSE)</f>
        <v>PCaMM_inc_006</v>
      </c>
      <c r="C18" s="1" t="str">
        <f>_xlfn.CONCAT(VLOOKUP(A18,containerInfo_BONCAT!$A$3:$T$60,5,FALSE),"cm, ",VLOOKUP(A18,containerInfo_BONCAT!$A$3:$T$60,6,FALSE), " side")</f>
        <v>1-3cm, Right side</v>
      </c>
      <c r="D18" s="1" t="str">
        <f>VLOOKUP(B18,incubationInfo!$A$3:$G$12,7,FALSE)</f>
        <v>HPG- and Hg(II)+, 36 hr</v>
      </c>
    </row>
    <row r="19" spans="1:4" x14ac:dyDescent="0.2">
      <c r="A19" s="1" t="s">
        <v>145</v>
      </c>
      <c r="B19" s="1" t="str">
        <f>VLOOKUP(A19,containerInfo_BONCAT!$A$3:$B$60,2,FALSE)</f>
        <v>PCaMM_inc_006</v>
      </c>
      <c r="C19" s="1" t="str">
        <f>_xlfn.CONCAT(VLOOKUP(A19,containerInfo_BONCAT!$A$3:$T$60,5,FALSE),"cm, ",VLOOKUP(A19,containerInfo_BONCAT!$A$3:$T$60,6,FALSE), " side")</f>
        <v>1-3cm, Right side</v>
      </c>
      <c r="D19" s="1" t="str">
        <f>VLOOKUP(B19,incubationInfo!$A$3:$G$12,7,FALSE)</f>
        <v>HPG- and Hg(II)+, 36 hr</v>
      </c>
    </row>
    <row r="20" spans="1:4" x14ac:dyDescent="0.2">
      <c r="A20" s="1" t="s">
        <v>146</v>
      </c>
      <c r="B20" s="1" t="str">
        <f>VLOOKUP(A20,containerInfo_BONCAT!$A$3:$B$60,2,FALSE)</f>
        <v>PCaMM_inc_006</v>
      </c>
      <c r="C20" s="1" t="str">
        <f>_xlfn.CONCAT(VLOOKUP(A20,containerInfo_BONCAT!$A$3:$T$60,5,FALSE),"cm, ",VLOOKUP(A20,containerInfo_BONCAT!$A$3:$T$60,6,FALSE), " side")</f>
        <v>1-3cm, Left side</v>
      </c>
      <c r="D20" s="1" t="str">
        <f>VLOOKUP(B20,incubationInfo!$A$3:$G$12,7,FALSE)</f>
        <v>HPG- and Hg(II)+, 36 hr</v>
      </c>
    </row>
    <row r="21" spans="1:4" x14ac:dyDescent="0.2">
      <c r="A21" s="1" t="s">
        <v>147</v>
      </c>
      <c r="B21" s="1" t="str">
        <f>VLOOKUP(A21,containerInfo_BONCAT!$A$3:$B$60,2,FALSE)</f>
        <v>PCaMM_inc_006</v>
      </c>
      <c r="C21" s="1" t="str">
        <f>_xlfn.CONCAT(VLOOKUP(A21,containerInfo_BONCAT!$A$3:$T$60,5,FALSE),"cm, ",VLOOKUP(A21,containerInfo_BONCAT!$A$3:$T$60,6,FALSE), " side")</f>
        <v>1-3cm, Left side</v>
      </c>
      <c r="D21" s="1" t="str">
        <f>VLOOKUP(B21,incubationInfo!$A$3:$G$12,7,FALSE)</f>
        <v>HPG- and Hg(II)+, 36 hr</v>
      </c>
    </row>
    <row r="22" spans="1:4" x14ac:dyDescent="0.2">
      <c r="A22" s="1" t="s">
        <v>148</v>
      </c>
      <c r="B22" s="1" t="str">
        <f>VLOOKUP(A22,containerInfo_BONCAT!$A$3:$B$60,2,FALSE)</f>
        <v>PCaMM_inc_006</v>
      </c>
      <c r="C22" s="1" t="str">
        <f>_xlfn.CONCAT(VLOOKUP(A22,containerInfo_BONCAT!$A$3:$T$60,5,FALSE),"cm, ",VLOOKUP(A22,containerInfo_BONCAT!$A$3:$T$60,6,FALSE), " side")</f>
        <v>3-5cm, Right side</v>
      </c>
      <c r="D22" s="1" t="str">
        <f>VLOOKUP(B22,incubationInfo!$A$3:$G$12,7,FALSE)</f>
        <v>HPG- and Hg(II)+, 36 hr</v>
      </c>
    </row>
    <row r="23" spans="1:4" x14ac:dyDescent="0.2">
      <c r="A23" s="1" t="s">
        <v>149</v>
      </c>
      <c r="B23" s="1" t="str">
        <f>VLOOKUP(A23,containerInfo_BONCAT!$A$3:$B$60,2,FALSE)</f>
        <v>PCaMM_inc_006</v>
      </c>
      <c r="C23" s="1" t="str">
        <f>_xlfn.CONCAT(VLOOKUP(A23,containerInfo_BONCAT!$A$3:$T$60,5,FALSE),"cm, ",VLOOKUP(A23,containerInfo_BONCAT!$A$3:$T$60,6,FALSE), " side")</f>
        <v>3-5cm, Right side</v>
      </c>
      <c r="D23" s="1" t="str">
        <f>VLOOKUP(B23,incubationInfo!$A$3:$G$12,7,FALSE)</f>
        <v>HPG- and Hg(II)+, 36 hr</v>
      </c>
    </row>
    <row r="24" spans="1:4" x14ac:dyDescent="0.2">
      <c r="A24" s="1" t="s">
        <v>150</v>
      </c>
      <c r="B24" s="1" t="str">
        <f>VLOOKUP(A24,containerInfo_BONCAT!$A$3:$B$60,2,FALSE)</f>
        <v>PCaMM_inc_006</v>
      </c>
      <c r="C24" s="1" t="str">
        <f>_xlfn.CONCAT(VLOOKUP(A24,containerInfo_BONCAT!$A$3:$T$60,5,FALSE),"cm, ",VLOOKUP(A24,containerInfo_BONCAT!$A$3:$T$60,6,FALSE), " side")</f>
        <v>3-5cm, Left side</v>
      </c>
      <c r="D24" s="1" t="str">
        <f>VLOOKUP(B24,incubationInfo!$A$3:$G$12,7,FALSE)</f>
        <v>HPG- and Hg(II)+, 36 hr</v>
      </c>
    </row>
    <row r="25" spans="1:4" x14ac:dyDescent="0.2">
      <c r="A25" s="1" t="s">
        <v>151</v>
      </c>
      <c r="B25" s="1" t="str">
        <f>VLOOKUP(A25,containerInfo_BONCAT!$A$3:$B$60,2,FALSE)</f>
        <v>PCaMM_inc_006</v>
      </c>
      <c r="C25" s="1" t="str">
        <f>_xlfn.CONCAT(VLOOKUP(A25,containerInfo_BONCAT!$A$3:$T$60,5,FALSE),"cm, ",VLOOKUP(A25,containerInfo_BONCAT!$A$3:$T$60,6,FALSE), " side")</f>
        <v>3-5cm, Left side</v>
      </c>
      <c r="D25" s="1" t="str">
        <f>VLOOKUP(B25,incubationInfo!$A$3:$G$12,7,FALSE)</f>
        <v>HPG- and Hg(II)+, 36 hr</v>
      </c>
    </row>
    <row r="26" spans="1:4" x14ac:dyDescent="0.2">
      <c r="A26" s="1" t="s">
        <v>152</v>
      </c>
      <c r="B26" s="1" t="str">
        <f>VLOOKUP(A26,containerInfo_BONCAT!$A$3:$B$60,2,FALSE)</f>
        <v>PCaMM_inc_005</v>
      </c>
      <c r="C26" s="1" t="str">
        <f>_xlfn.CONCAT(VLOOKUP(A26,containerInfo_BONCAT!$A$3:$T$60,5,FALSE),"cm, ",VLOOKUP(A26,containerInfo_BONCAT!$A$3:$T$60,6,FALSE), " side")</f>
        <v>1-3cm, Right side</v>
      </c>
      <c r="D26" s="1" t="str">
        <f>VLOOKUP(B26,incubationInfo!$A$3:$G$12,7,FALSE)</f>
        <v>50µM HPG+ and Hg(II)-, 36 hr</v>
      </c>
    </row>
    <row r="27" spans="1:4" x14ac:dyDescent="0.2">
      <c r="A27" s="1" t="s">
        <v>153</v>
      </c>
      <c r="B27" s="1" t="str">
        <f>VLOOKUP(A27,containerInfo_BONCAT!$A$3:$B$60,2,FALSE)</f>
        <v>PCaMM_inc_005</v>
      </c>
      <c r="C27" s="1" t="str">
        <f>_xlfn.CONCAT(VLOOKUP(A27,containerInfo_BONCAT!$A$3:$T$60,5,FALSE),"cm, ",VLOOKUP(A27,containerInfo_BONCAT!$A$3:$T$60,6,FALSE), " side")</f>
        <v>1-3cm, Right side</v>
      </c>
      <c r="D27" s="1" t="str">
        <f>VLOOKUP(B27,incubationInfo!$A$3:$G$12,7,FALSE)</f>
        <v>50µM HPG+ and Hg(II)-, 36 hr</v>
      </c>
    </row>
    <row r="28" spans="1:4" x14ac:dyDescent="0.2">
      <c r="A28" s="1" t="s">
        <v>154</v>
      </c>
      <c r="B28" s="1" t="str">
        <f>VLOOKUP(A28,containerInfo_BONCAT!$A$3:$B$60,2,FALSE)</f>
        <v>PCaMM_inc_005</v>
      </c>
      <c r="C28" s="1" t="str">
        <f>_xlfn.CONCAT(VLOOKUP(A28,containerInfo_BONCAT!$A$3:$T$60,5,FALSE),"cm, ",VLOOKUP(A28,containerInfo_BONCAT!$A$3:$T$60,6,FALSE), " side")</f>
        <v>1-3cm, Left side</v>
      </c>
      <c r="D28" s="1" t="str">
        <f>VLOOKUP(B28,incubationInfo!$A$3:$G$12,7,FALSE)</f>
        <v>50µM HPG+ and Hg(II)-, 36 hr</v>
      </c>
    </row>
    <row r="29" spans="1:4" x14ac:dyDescent="0.2">
      <c r="A29" s="1" t="s">
        <v>155</v>
      </c>
      <c r="B29" s="1" t="str">
        <f>VLOOKUP(A29,containerInfo_BONCAT!$A$3:$B$60,2,FALSE)</f>
        <v>PCaMM_inc_005</v>
      </c>
      <c r="C29" s="1" t="str">
        <f>_xlfn.CONCAT(VLOOKUP(A29,containerInfo_BONCAT!$A$3:$T$60,5,FALSE),"cm, ",VLOOKUP(A29,containerInfo_BONCAT!$A$3:$T$60,6,FALSE), " side")</f>
        <v>1-3cm, Left side</v>
      </c>
      <c r="D29" s="1" t="str">
        <f>VLOOKUP(B29,incubationInfo!$A$3:$G$12,7,FALSE)</f>
        <v>50µM HPG+ and Hg(II)-, 36 hr</v>
      </c>
    </row>
    <row r="30" spans="1:4" x14ac:dyDescent="0.2">
      <c r="A30" s="1" t="s">
        <v>156</v>
      </c>
      <c r="B30" s="1" t="str">
        <f>VLOOKUP(A30,containerInfo_BONCAT!$A$3:$B$60,2,FALSE)</f>
        <v>PCaMM_inc_005</v>
      </c>
      <c r="C30" s="1" t="str">
        <f>_xlfn.CONCAT(VLOOKUP(A30,containerInfo_BONCAT!$A$3:$T$60,5,FALSE),"cm, ",VLOOKUP(A30,containerInfo_BONCAT!$A$3:$T$60,6,FALSE), " side")</f>
        <v>3-5cm, Right side</v>
      </c>
      <c r="D30" s="1" t="str">
        <f>VLOOKUP(B30,incubationInfo!$A$3:$G$12,7,FALSE)</f>
        <v>50µM HPG+ and Hg(II)-, 36 hr</v>
      </c>
    </row>
    <row r="31" spans="1:4" x14ac:dyDescent="0.2">
      <c r="A31" s="1" t="s">
        <v>157</v>
      </c>
      <c r="B31" s="1" t="str">
        <f>VLOOKUP(A31,containerInfo_BONCAT!$A$3:$B$60,2,FALSE)</f>
        <v>PCaMM_inc_005</v>
      </c>
      <c r="C31" s="1" t="str">
        <f>_xlfn.CONCAT(VLOOKUP(A31,containerInfo_BONCAT!$A$3:$T$60,5,FALSE),"cm, ",VLOOKUP(A31,containerInfo_BONCAT!$A$3:$T$60,6,FALSE), " side")</f>
        <v>3-5cm, Right side</v>
      </c>
      <c r="D31" s="1" t="str">
        <f>VLOOKUP(B31,incubationInfo!$A$3:$G$12,7,FALSE)</f>
        <v>50µM HPG+ and Hg(II)-, 36 hr</v>
      </c>
    </row>
    <row r="32" spans="1:4" x14ac:dyDescent="0.2">
      <c r="A32" s="1" t="s">
        <v>158</v>
      </c>
      <c r="B32" s="1" t="str">
        <f>VLOOKUP(A32,containerInfo_BONCAT!$A$3:$B$60,2,FALSE)</f>
        <v>PCaMM_inc_005</v>
      </c>
      <c r="C32" s="1" t="str">
        <f>_xlfn.CONCAT(VLOOKUP(A32,containerInfo_BONCAT!$A$3:$T$60,5,FALSE),"cm, ",VLOOKUP(A32,containerInfo_BONCAT!$A$3:$T$60,6,FALSE), " side")</f>
        <v>3-5cm, Left side</v>
      </c>
      <c r="D32" s="1" t="str">
        <f>VLOOKUP(B32,incubationInfo!$A$3:$G$12,7,FALSE)</f>
        <v>50µM HPG+ and Hg(II)-, 36 hr</v>
      </c>
    </row>
    <row r="33" spans="1:4" x14ac:dyDescent="0.2">
      <c r="A33" s="1" t="s">
        <v>159</v>
      </c>
      <c r="B33" s="1" t="str">
        <f>VLOOKUP(A33,containerInfo_BONCAT!$A$3:$B$60,2,FALSE)</f>
        <v>PCaMM_inc_005</v>
      </c>
      <c r="C33" s="1" t="str">
        <f>_xlfn.CONCAT(VLOOKUP(A33,containerInfo_BONCAT!$A$3:$T$60,5,FALSE),"cm, ",VLOOKUP(A33,containerInfo_BONCAT!$A$3:$T$60,6,FALSE), " side")</f>
        <v>3-5cm, Left side</v>
      </c>
      <c r="D33" s="1" t="str">
        <f>VLOOKUP(B33,incubationInfo!$A$3:$G$12,7,FALSE)</f>
        <v>50µM HPG+ and Hg(II)-, 36 hr</v>
      </c>
    </row>
    <row r="34" spans="1:4" x14ac:dyDescent="0.2">
      <c r="A34" s="1" t="s">
        <v>160</v>
      </c>
      <c r="B34" s="1" t="str">
        <f>VLOOKUP(A34,containerInfo_BONCAT!$A$3:$B$60,2,FALSE)</f>
        <v>PCaMM_inc_010</v>
      </c>
      <c r="C34" s="1" t="str">
        <f>_xlfn.CONCAT(VLOOKUP(A34,containerInfo_BONCAT!$A$3:$T$60,5,FALSE),"cm, ",VLOOKUP(A34,containerInfo_BONCAT!$A$3:$T$60,6,FALSE), " side")</f>
        <v>1-3cm, Right side</v>
      </c>
      <c r="D34" s="1" t="str">
        <f>VLOOKUP(B34,incubationInfo!$A$3:$G$12,7,FALSE)</f>
        <v>50µM HPG+ and Hg(II)+, 36 hr</v>
      </c>
    </row>
    <row r="35" spans="1:4" x14ac:dyDescent="0.2">
      <c r="A35" s="1" t="s">
        <v>161</v>
      </c>
      <c r="B35" s="1" t="str">
        <f>VLOOKUP(A35,containerInfo_BONCAT!$A$3:$B$60,2,FALSE)</f>
        <v>PCaMM_inc_010</v>
      </c>
      <c r="C35" s="1" t="str">
        <f>_xlfn.CONCAT(VLOOKUP(A35,containerInfo_BONCAT!$A$3:$T$60,5,FALSE),"cm, ",VLOOKUP(A35,containerInfo_BONCAT!$A$3:$T$60,6,FALSE), " side")</f>
        <v>1-3cm, Right side</v>
      </c>
      <c r="D35" s="1" t="str">
        <f>VLOOKUP(B35,incubationInfo!$A$3:$G$12,7,FALSE)</f>
        <v>50µM HPG+ and Hg(II)+, 36 hr</v>
      </c>
    </row>
    <row r="36" spans="1:4" x14ac:dyDescent="0.2">
      <c r="A36" s="1" t="s">
        <v>162</v>
      </c>
      <c r="B36" s="1" t="str">
        <f>VLOOKUP(A36,containerInfo_BONCAT!$A$3:$B$60,2,FALSE)</f>
        <v>PCaMM_inc_010</v>
      </c>
      <c r="C36" s="1" t="str">
        <f>_xlfn.CONCAT(VLOOKUP(A36,containerInfo_BONCAT!$A$3:$T$60,5,FALSE),"cm, ",VLOOKUP(A36,containerInfo_BONCAT!$A$3:$T$60,6,FALSE), " side")</f>
        <v>1-3cm, Left side</v>
      </c>
      <c r="D36" s="1" t="str">
        <f>VLOOKUP(B36,incubationInfo!$A$3:$G$12,7,FALSE)</f>
        <v>50µM HPG+ and Hg(II)+, 36 hr</v>
      </c>
    </row>
    <row r="37" spans="1:4" x14ac:dyDescent="0.2">
      <c r="A37" s="1" t="s">
        <v>163</v>
      </c>
      <c r="B37" s="1" t="str">
        <f>VLOOKUP(A37,containerInfo_BONCAT!$A$3:$B$60,2,FALSE)</f>
        <v>PCaMM_inc_010</v>
      </c>
      <c r="C37" s="1" t="str">
        <f>_xlfn.CONCAT(VLOOKUP(A37,containerInfo_BONCAT!$A$3:$T$60,5,FALSE),"cm, ",VLOOKUP(A37,containerInfo_BONCAT!$A$3:$T$60,6,FALSE), " side")</f>
        <v>1-3cm, Left side</v>
      </c>
      <c r="D37" s="1" t="str">
        <f>VLOOKUP(B37,incubationInfo!$A$3:$G$12,7,FALSE)</f>
        <v>50µM HPG+ and Hg(II)+, 36 hr</v>
      </c>
    </row>
    <row r="38" spans="1:4" x14ac:dyDescent="0.2">
      <c r="A38" s="1" t="s">
        <v>164</v>
      </c>
      <c r="B38" s="1" t="str">
        <f>VLOOKUP(A38,containerInfo_BONCAT!$A$3:$B$60,2,FALSE)</f>
        <v>PCaMM_inc_010</v>
      </c>
      <c r="C38" s="1" t="str">
        <f>_xlfn.CONCAT(VLOOKUP(A38,containerInfo_BONCAT!$A$3:$T$60,5,FALSE),"cm, ",VLOOKUP(A38,containerInfo_BONCAT!$A$3:$T$60,6,FALSE), " side")</f>
        <v>3-5cm, Right side</v>
      </c>
      <c r="D38" s="1" t="str">
        <f>VLOOKUP(B38,incubationInfo!$A$3:$G$12,7,FALSE)</f>
        <v>50µM HPG+ and Hg(II)+, 36 hr</v>
      </c>
    </row>
    <row r="39" spans="1:4" x14ac:dyDescent="0.2">
      <c r="A39" s="1" t="s">
        <v>165</v>
      </c>
      <c r="B39" s="1" t="str">
        <f>VLOOKUP(A39,containerInfo_BONCAT!$A$3:$B$60,2,FALSE)</f>
        <v>PCaMM_inc_010</v>
      </c>
      <c r="C39" s="1" t="str">
        <f>_xlfn.CONCAT(VLOOKUP(A39,containerInfo_BONCAT!$A$3:$T$60,5,FALSE),"cm, ",VLOOKUP(A39,containerInfo_BONCAT!$A$3:$T$60,6,FALSE), " side")</f>
        <v>3-5cm, Right side</v>
      </c>
      <c r="D39" s="1" t="str">
        <f>VLOOKUP(B39,incubationInfo!$A$3:$G$12,7,FALSE)</f>
        <v>50µM HPG+ and Hg(II)+, 36 hr</v>
      </c>
    </row>
    <row r="40" spans="1:4" x14ac:dyDescent="0.2">
      <c r="A40" s="1" t="s">
        <v>166</v>
      </c>
      <c r="B40" s="1" t="str">
        <f>VLOOKUP(A40,containerInfo_BONCAT!$A$3:$B$60,2,FALSE)</f>
        <v>PCaMM_inc_010</v>
      </c>
      <c r="C40" s="1" t="str">
        <f>_xlfn.CONCAT(VLOOKUP(A40,containerInfo_BONCAT!$A$3:$T$60,5,FALSE),"cm, ",VLOOKUP(A40,containerInfo_BONCAT!$A$3:$T$60,6,FALSE), " side")</f>
        <v>3-5cm, Left side</v>
      </c>
      <c r="D40" s="1" t="str">
        <f>VLOOKUP(B40,incubationInfo!$A$3:$G$12,7,FALSE)</f>
        <v>50µM HPG+ and Hg(II)+, 36 hr</v>
      </c>
    </row>
    <row r="41" spans="1:4" x14ac:dyDescent="0.2">
      <c r="A41" s="1" t="s">
        <v>167</v>
      </c>
      <c r="B41" s="1" t="str">
        <f>VLOOKUP(A41,containerInfo_BONCAT!$A$3:$B$60,2,FALSE)</f>
        <v>PCaMM_inc_010</v>
      </c>
      <c r="C41" s="1" t="str">
        <f>_xlfn.CONCAT(VLOOKUP(A41,containerInfo_BONCAT!$A$3:$T$60,5,FALSE),"cm, ",VLOOKUP(A41,containerInfo_BONCAT!$A$3:$T$60,6,FALSE), " side")</f>
        <v>3-5cm, Left side</v>
      </c>
      <c r="D41" s="1" t="str">
        <f>VLOOKUP(B41,incubationInfo!$A$3:$G$12,7,FALSE)</f>
        <v>50µM HPG+ and Hg(II)+, 36 hr</v>
      </c>
    </row>
    <row r="42" spans="1:4" x14ac:dyDescent="0.2">
      <c r="A42" s="1" t="s">
        <v>168</v>
      </c>
      <c r="B42" s="1" t="str">
        <f>VLOOKUP(A42,containerInfo_BONCAT!$A$3:$B$60,2,FALSE)</f>
        <v>PCaMM_inc_007</v>
      </c>
      <c r="C42" s="1" t="str">
        <f>_xlfn.CONCAT(VLOOKUP(A42,containerInfo_BONCAT!$A$3:$T$60,5,FALSE),"cm, ",VLOOKUP(A42,containerInfo_BONCAT!$A$3:$T$60,6,FALSE), " side")</f>
        <v>1-3cm, Right side</v>
      </c>
      <c r="D42" s="1" t="str">
        <f>VLOOKUP(B42,incubationInfo!$A$3:$G$12,7,FALSE)</f>
        <v>10µM HPG+ and Hg(II)+, 36 hr</v>
      </c>
    </row>
    <row r="43" spans="1:4" x14ac:dyDescent="0.2">
      <c r="A43" s="1" t="s">
        <v>169</v>
      </c>
      <c r="B43" s="1" t="str">
        <f>VLOOKUP(A43,containerInfo_BONCAT!$A$3:$B$60,2,FALSE)</f>
        <v>PCaMM_inc_007</v>
      </c>
      <c r="C43" s="1" t="str">
        <f>_xlfn.CONCAT(VLOOKUP(A43,containerInfo_BONCAT!$A$3:$T$60,5,FALSE),"cm, ",VLOOKUP(A43,containerInfo_BONCAT!$A$3:$T$60,6,FALSE), " side")</f>
        <v>1-3cm, Right side</v>
      </c>
      <c r="D43" s="1" t="str">
        <f>VLOOKUP(B43,incubationInfo!$A$3:$G$12,7,FALSE)</f>
        <v>10µM HPG+ and Hg(II)+, 36 hr</v>
      </c>
    </row>
    <row r="44" spans="1:4" x14ac:dyDescent="0.2">
      <c r="A44" s="1" t="s">
        <v>170</v>
      </c>
      <c r="B44" s="1" t="str">
        <f>VLOOKUP(A44,containerInfo_BONCAT!$A$3:$B$60,2,FALSE)</f>
        <v>PCaMM_inc_007</v>
      </c>
      <c r="C44" s="1" t="str">
        <f>_xlfn.CONCAT(VLOOKUP(A44,containerInfo_BONCAT!$A$3:$T$60,5,FALSE),"cm, ",VLOOKUP(A44,containerInfo_BONCAT!$A$3:$T$60,6,FALSE), " side")</f>
        <v>1-3cm, Left side</v>
      </c>
      <c r="D44" s="1" t="str">
        <f>VLOOKUP(B44,incubationInfo!$A$3:$G$12,7,FALSE)</f>
        <v>10µM HPG+ and Hg(II)+, 36 hr</v>
      </c>
    </row>
    <row r="45" spans="1:4" x14ac:dyDescent="0.2">
      <c r="A45" s="1" t="s">
        <v>171</v>
      </c>
      <c r="B45" s="1" t="str">
        <f>VLOOKUP(A45,containerInfo_BONCAT!$A$3:$B$60,2,FALSE)</f>
        <v>PCaMM_inc_007</v>
      </c>
      <c r="C45" s="1" t="str">
        <f>_xlfn.CONCAT(VLOOKUP(A45,containerInfo_BONCAT!$A$3:$T$60,5,FALSE),"cm, ",VLOOKUP(A45,containerInfo_BONCAT!$A$3:$T$60,6,FALSE), " side")</f>
        <v>1-3cm, Left side</v>
      </c>
      <c r="D45" s="1" t="str">
        <f>VLOOKUP(B45,incubationInfo!$A$3:$G$12,7,FALSE)</f>
        <v>10µM HPG+ and Hg(II)+, 36 hr</v>
      </c>
    </row>
    <row r="46" spans="1:4" x14ac:dyDescent="0.2">
      <c r="A46" s="1" t="s">
        <v>172</v>
      </c>
      <c r="B46" s="1" t="str">
        <f>VLOOKUP(A46,containerInfo_BONCAT!$A$3:$B$60,2,FALSE)</f>
        <v>PCaMM_inc_007</v>
      </c>
      <c r="C46" s="1" t="str">
        <f>_xlfn.CONCAT(VLOOKUP(A46,containerInfo_BONCAT!$A$3:$T$60,5,FALSE),"cm, ",VLOOKUP(A46,containerInfo_BONCAT!$A$3:$T$60,6,FALSE), " side")</f>
        <v>3-5cm, Right side</v>
      </c>
      <c r="D46" s="1" t="str">
        <f>VLOOKUP(B46,incubationInfo!$A$3:$G$12,7,FALSE)</f>
        <v>10µM HPG+ and Hg(II)+, 36 hr</v>
      </c>
    </row>
    <row r="47" spans="1:4" x14ac:dyDescent="0.2">
      <c r="A47" s="1" t="s">
        <v>173</v>
      </c>
      <c r="B47" s="1" t="str">
        <f>VLOOKUP(A47,containerInfo_BONCAT!$A$3:$B$60,2,FALSE)</f>
        <v>PCaMM_inc_007</v>
      </c>
      <c r="C47" s="1" t="str">
        <f>_xlfn.CONCAT(VLOOKUP(A47,containerInfo_BONCAT!$A$3:$T$60,5,FALSE),"cm, ",VLOOKUP(A47,containerInfo_BONCAT!$A$3:$T$60,6,FALSE), " side")</f>
        <v>3-5cm, Right side</v>
      </c>
      <c r="D47" s="1" t="str">
        <f>VLOOKUP(B47,incubationInfo!$A$3:$G$12,7,FALSE)</f>
        <v>10µM HPG+ and Hg(II)+, 36 hr</v>
      </c>
    </row>
    <row r="48" spans="1:4" x14ac:dyDescent="0.2">
      <c r="A48" s="1" t="s">
        <v>174</v>
      </c>
      <c r="B48" s="1" t="str">
        <f>VLOOKUP(A48,containerInfo_BONCAT!$A$3:$B$60,2,FALSE)</f>
        <v>PCaMM_inc_007</v>
      </c>
      <c r="C48" s="1" t="str">
        <f>_xlfn.CONCAT(VLOOKUP(A48,containerInfo_BONCAT!$A$3:$T$60,5,FALSE),"cm, ",VLOOKUP(A48,containerInfo_BONCAT!$A$3:$T$60,6,FALSE), " side")</f>
        <v>3-5cm, Left side</v>
      </c>
      <c r="D48" s="1" t="str">
        <f>VLOOKUP(B48,incubationInfo!$A$3:$G$12,7,FALSE)</f>
        <v>10µM HPG+ and Hg(II)+, 36 hr</v>
      </c>
    </row>
    <row r="49" spans="1:4" x14ac:dyDescent="0.2">
      <c r="A49" s="1" t="s">
        <v>175</v>
      </c>
      <c r="B49" s="1" t="str">
        <f>VLOOKUP(A49,containerInfo_BONCAT!$A$3:$B$60,2,FALSE)</f>
        <v>PCaMM_inc_007</v>
      </c>
      <c r="C49" s="1" t="str">
        <f>_xlfn.CONCAT(VLOOKUP(A49,containerInfo_BONCAT!$A$3:$T$60,5,FALSE),"cm, ",VLOOKUP(A49,containerInfo_BONCAT!$A$3:$T$60,6,FALSE), " side")</f>
        <v>3-5cm, Left side</v>
      </c>
      <c r="D49" s="1" t="str">
        <f>VLOOKUP(B49,incubationInfo!$A$3:$G$12,7,FALSE)</f>
        <v>10µM HPG+ and Hg(II)+, 36 hr</v>
      </c>
    </row>
    <row r="50" spans="1:4" x14ac:dyDescent="0.2">
      <c r="A50" s="1" t="s">
        <v>190</v>
      </c>
      <c r="B50" s="1" t="str">
        <f>VLOOKUP(A50,containerInfo_BONCAT!$A$3:$B$60,2,FALSE)</f>
        <v>N/A</v>
      </c>
      <c r="C50" s="1" t="s">
        <v>43</v>
      </c>
      <c r="D50" s="1" t="s">
        <v>204</v>
      </c>
    </row>
    <row r="51" spans="1:4" x14ac:dyDescent="0.2">
      <c r="A51" s="1" t="s">
        <v>191</v>
      </c>
      <c r="B51" s="1" t="str">
        <f>VLOOKUP(A51,containerInfo_BONCAT!$A$3:$B$60,2,FALSE)</f>
        <v>N/A</v>
      </c>
      <c r="C51" s="1" t="s">
        <v>43</v>
      </c>
      <c r="D51" s="1" t="s">
        <v>204</v>
      </c>
    </row>
    <row r="52" spans="1:4" x14ac:dyDescent="0.2">
      <c r="A52" s="1" t="s">
        <v>192</v>
      </c>
      <c r="B52" s="1" t="str">
        <f>VLOOKUP(A52,containerInfo_BONCAT!$A$3:$B$60,2,FALSE)</f>
        <v>N/A</v>
      </c>
      <c r="C52" s="1" t="s">
        <v>43</v>
      </c>
      <c r="D52" s="1" t="s">
        <v>204</v>
      </c>
    </row>
    <row r="53" spans="1:4" x14ac:dyDescent="0.2">
      <c r="A53" s="1" t="s">
        <v>193</v>
      </c>
      <c r="B53" s="1" t="str">
        <f>VLOOKUP(A53,containerInfo_BONCAT!$A$3:$B$60,2,FALSE)</f>
        <v>N/A</v>
      </c>
      <c r="C53" s="1" t="s">
        <v>43</v>
      </c>
      <c r="D53" s="1" t="s">
        <v>204</v>
      </c>
    </row>
    <row r="54" spans="1:4" x14ac:dyDescent="0.2">
      <c r="A54" s="1" t="s">
        <v>194</v>
      </c>
      <c r="B54" s="1" t="str">
        <f>VLOOKUP(A54,containerInfo_BONCAT!$A$3:$B$60,2,FALSE)</f>
        <v>N/A</v>
      </c>
      <c r="C54" s="1" t="s">
        <v>43</v>
      </c>
      <c r="D54" s="1" t="s">
        <v>205</v>
      </c>
    </row>
    <row r="55" spans="1:4" x14ac:dyDescent="0.2">
      <c r="A55" s="1" t="s">
        <v>195</v>
      </c>
      <c r="B55" s="1" t="str">
        <f>VLOOKUP(A55,containerInfo_BONCAT!$A$3:$B$60,2,FALSE)</f>
        <v>N/A</v>
      </c>
      <c r="C55" s="1" t="s">
        <v>43</v>
      </c>
      <c r="D55" s="1" t="s">
        <v>205</v>
      </c>
    </row>
    <row r="56" spans="1:4" x14ac:dyDescent="0.2">
      <c r="A56" s="1" t="s">
        <v>196</v>
      </c>
      <c r="B56" s="1" t="str">
        <f>VLOOKUP(A56,containerInfo_BONCAT!$A$3:$B$60,2,FALSE)</f>
        <v>N/A</v>
      </c>
      <c r="C56" s="1" t="s">
        <v>43</v>
      </c>
      <c r="D56" s="1" t="s">
        <v>205</v>
      </c>
    </row>
    <row r="57" spans="1:4" x14ac:dyDescent="0.2">
      <c r="A57" s="1" t="s">
        <v>197</v>
      </c>
      <c r="B57" s="1" t="str">
        <f>VLOOKUP(A57,containerInfo_BONCAT!$A$3:$B$60,2,FALSE)</f>
        <v>N/A</v>
      </c>
      <c r="C57" s="1" t="s">
        <v>43</v>
      </c>
      <c r="D57" s="1" t="s">
        <v>205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incubationInfo</vt:lpstr>
      <vt:lpstr>containerInfo_Hg</vt:lpstr>
      <vt:lpstr>containerInfo_BONCAT</vt:lpstr>
      <vt:lpstr>containerInfo_other</vt:lpstr>
      <vt:lpstr>SpikeInfo</vt:lpstr>
      <vt:lpstr>SpikePreservation</vt:lpstr>
      <vt:lpstr>printed_sheet</vt:lpstr>
      <vt:lpstr>EXTERNAL_info_for_danielle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 David Peterson</dc:creator>
  <cp:lastModifiedBy>Benjamin David Peterson</cp:lastModifiedBy>
  <cp:lastPrinted>2024-05-30T19:11:09Z</cp:lastPrinted>
  <dcterms:created xsi:type="dcterms:W3CDTF">2024-05-23T05:47:37Z</dcterms:created>
  <dcterms:modified xsi:type="dcterms:W3CDTF">2024-06-12T19:27:04Z</dcterms:modified>
</cp:coreProperties>
</file>